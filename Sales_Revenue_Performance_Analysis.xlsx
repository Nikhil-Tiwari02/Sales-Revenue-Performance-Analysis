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B3D590E4-AEBA-474B-BC0A-A5C5A0CBAFC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ales Data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2" l="1"/>
  <c r="L4" i="2"/>
  <c r="J4" i="2"/>
  <c r="J3" i="2"/>
  <c r="V16" i="2"/>
  <c r="V17" i="2"/>
  <c r="V18" i="2"/>
  <c r="V19" i="2"/>
  <c r="V20" i="2"/>
  <c r="V21" i="2"/>
  <c r="V22" i="2"/>
  <c r="V23" i="2"/>
  <c r="V24" i="2"/>
  <c r="V15" i="2"/>
  <c r="U16" i="2"/>
  <c r="U17" i="2"/>
  <c r="U18" i="2"/>
  <c r="U19" i="2"/>
  <c r="U20" i="2"/>
  <c r="U21" i="2"/>
  <c r="U22" i="2"/>
  <c r="U23" i="2"/>
  <c r="U24" i="2"/>
  <c r="U15" i="2"/>
  <c r="T16" i="2"/>
  <c r="T17" i="2"/>
  <c r="T18" i="2"/>
  <c r="T19" i="2"/>
  <c r="T20" i="2"/>
  <c r="T21" i="2"/>
  <c r="T22" i="2"/>
  <c r="T23" i="2"/>
  <c r="T24" i="2"/>
  <c r="T15" i="2"/>
  <c r="P16" i="2"/>
  <c r="P17" i="2"/>
  <c r="P15" i="2"/>
  <c r="H16" i="2"/>
  <c r="H17" i="2"/>
  <c r="H18" i="2"/>
  <c r="H15" i="2"/>
  <c r="E16" i="2"/>
  <c r="E17" i="2"/>
  <c r="E15" i="2"/>
  <c r="B16" i="2" a="1"/>
  <c r="B16" i="2"/>
  <c r="B17" i="2" a="1"/>
  <c r="B17" i="2"/>
  <c r="B18" i="2" a="1"/>
  <c r="B18" i="2"/>
  <c r="B19" i="2" a="1"/>
  <c r="B19" i="2"/>
  <c r="B20" i="2" a="1"/>
  <c r="B20" i="2"/>
  <c r="B21" i="2" a="1"/>
  <c r="B21" i="2"/>
  <c r="B15" i="2" a="1"/>
  <c r="B15" i="2" s="1"/>
  <c r="K9" i="2"/>
  <c r="K10" i="2"/>
  <c r="K11" i="2"/>
  <c r="H8" i="2"/>
  <c r="K8" i="2"/>
  <c r="H9" i="2"/>
  <c r="H10" i="2"/>
  <c r="H11" i="2"/>
  <c r="E8" i="2"/>
  <c r="E9" i="2"/>
  <c r="E11" i="2"/>
  <c r="E10" i="2"/>
  <c r="B10" i="2"/>
  <c r="B9" i="2"/>
  <c r="B8" i="2"/>
  <c r="A4" i="2"/>
  <c r="D4" i="2"/>
  <c r="C4" i="2"/>
  <c r="B4" i="2"/>
  <c r="E4" i="2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<sst xmlns="http://schemas.openxmlformats.org/spreadsheetml/2006/main" count="595" uniqueCount="156">
  <si>
    <t>Order ID</t>
  </si>
  <si>
    <t>Order Date</t>
  </si>
  <si>
    <t>Product</t>
  </si>
  <si>
    <t>Category</t>
  </si>
  <si>
    <t>Region</t>
  </si>
  <si>
    <t>Salesperson</t>
  </si>
  <si>
    <t>Quantity</t>
  </si>
  <si>
    <t>Unit Price</t>
  </si>
  <si>
    <t>Revenue</t>
  </si>
  <si>
    <t>Discount</t>
  </si>
  <si>
    <t>Profit</t>
  </si>
  <si>
    <t>ORD001</t>
  </si>
  <si>
    <t>Laptop</t>
  </si>
  <si>
    <t>Technology</t>
  </si>
  <si>
    <t>North</t>
  </si>
  <si>
    <t>Rahul</t>
  </si>
  <si>
    <t>ORD002</t>
  </si>
  <si>
    <t>Office Chair</t>
  </si>
  <si>
    <t>Furniture</t>
  </si>
  <si>
    <t>South</t>
  </si>
  <si>
    <t>Priya</t>
  </si>
  <si>
    <t>ORD003</t>
  </si>
  <si>
    <t>Smartphone</t>
  </si>
  <si>
    <t>East</t>
  </si>
  <si>
    <t>Amit</t>
  </si>
  <si>
    <t>ORD004</t>
  </si>
  <si>
    <t>Desk</t>
  </si>
  <si>
    <t>West</t>
  </si>
  <si>
    <t>Neha</t>
  </si>
  <si>
    <t>ORD005</t>
  </si>
  <si>
    <t>Headphones</t>
  </si>
  <si>
    <t>Accessories</t>
  </si>
  <si>
    <t>ORD006</t>
  </si>
  <si>
    <t>Monitor</t>
  </si>
  <si>
    <t>ORD007</t>
  </si>
  <si>
    <t>Keyboard</t>
  </si>
  <si>
    <t>ORD008</t>
  </si>
  <si>
    <t>Printer</t>
  </si>
  <si>
    <t>ORD009</t>
  </si>
  <si>
    <t>Bookshelf</t>
  </si>
  <si>
    <t>ORD010</t>
  </si>
  <si>
    <t>Mouse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</si>
  <si>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</si>
  <si>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</si>
  <si>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</si>
  <si>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</si>
  <si>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</si>
  <si>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</si>
  <si>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</si>
  <si>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</si>
  <si>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</si>
  <si>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</si>
  <si>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</si>
  <si>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</si>
  <si>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</si>
  <si>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</si>
  <si>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</si>
  <si>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</si>
  <si>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</si>
  <si>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</si>
  <si>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</si>
  <si>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</si>
  <si>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</si>
  <si>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</si>
  <si>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</si>
  <si>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</si>
  <si>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</si>
  <si>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</si>
  <si>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</si>
  <si>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</si>
  <si>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</si>
  <si>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</si>
  <si>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</si>
  <si>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</si>
  <si>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</si>
  <si>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</si>
  <si>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</si>
  <si>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</si>
  <si>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</si>
  <si>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</si>
  <si>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</si>
  <si>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</si>
  <si>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</si>
  <si>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</si>
  <si>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</si>
  <si>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</si>
  <si>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</si>
  <si>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</si>
  <si>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</si>
  <si>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</si>
  <si>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</si>
  <si>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</si>
  <si>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</si>
  <si>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</si>
  <si>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</si>
  <si>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</si>
  <si>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</si>
  <si>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</si>
  <si>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</si>
  <si>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</si>
  <si>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</si>
  <si>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</si>
  <si>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</si>
  <si>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</si>
  <si>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</si>
  <si>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</si>
  <si>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</si>
  <si>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</si>
  <si>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</si>
  <si>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</si>
  <si>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</si>
  <si>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</si>
  <si>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</si>
  <si>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</si>
  <si>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</si>
  <si>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</si>
  <si>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</si>
  <si>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</si>
  <si>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</si>
  <si>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</si>
  <si>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</si>
  <si>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</si>
  <si>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</si>
  <si>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</si>
  <si>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</si>
  <si>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</si>
  <si>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</si>
  <si>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</si>
  <si>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</si>
  <si>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</si>
  <si>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</si>
  <si>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</si>
  <si>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SALES &amp; REVENUE ANALYSIS DASHBOARD</t>
  </si>
  <si>
    <t>Top Product</t>
  </si>
  <si>
    <t>Top Profit Product</t>
  </si>
  <si>
    <t>Total Orders</t>
  </si>
  <si>
    <t>Total Revenue</t>
  </si>
  <si>
    <t>Total Profit</t>
  </si>
  <si>
    <t>Total Quantity</t>
  </si>
  <si>
    <t>Average Order Value</t>
  </si>
  <si>
    <t>Orders</t>
  </si>
  <si>
    <t>Month</t>
  </si>
  <si>
    <t>Profit Margin</t>
  </si>
  <si>
    <t>January</t>
  </si>
  <si>
    <t>February</t>
  </si>
  <si>
    <t>March</t>
  </si>
  <si>
    <t>April</t>
  </si>
  <si>
    <t>May</t>
  </si>
  <si>
    <t>June</t>
  </si>
  <si>
    <t>July</t>
  </si>
  <si>
    <t>Key Insights</t>
  </si>
  <si>
    <t>Technology generated the highest revenue of ₹26,42,335, contributing approximately 65% of total revenue.</t>
  </si>
  <si>
    <t>Accessories had the highest profit margin at 25%, followed by Furniture at 20% and Technology at 15%.</t>
  </si>
  <si>
    <t>Laptop was the best-performing product by revenue and profit, generating ₹9,15,200 revenue and ₹1,37,280 profit.</t>
  </si>
  <si>
    <t>Amit generated the highest revenue of ₹12,26,170 among all salespeople, while each salesperson handled 25 orders.</t>
  </si>
  <si>
    <t>March recorded the highest monthly revenue at ₹6,56,700, while May recorded the lowest at ₹5,14,810.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</si>
</sst>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9" fontId="0" fillId="0" borderId="0" xfId="0" applyNumberFormat="1"/>
    <xf numFmtId="0" fontId="4" fillId="0" borderId="0" xfId="0" applyFont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0" xfId="0" applyFill="1"/>
    <xf numFmtId="9" fontId="0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7" fillId="5" borderId="0" xfId="0" applyFont="1" applyFill="1"/>
    <xf numFmtId="0" fontId="2" fillId="9" borderId="1" xfId="0" applyFont="1" applyFill="1" applyBorder="1" applyAlignment="1">
      <alignment horizontal="center" vertical="center"/>
    </xf>
    <xf numFmtId="43" fontId="2" fillId="10" borderId="1" xfId="0" applyNumberFormat="1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12" borderId="7" xfId="0" applyFont="1" applyFill="1" applyBorder="1" applyAlignment="1">
      <alignment horizontal="center" vertical="center" wrapText="1"/>
    </xf>
    <xf numFmtId="0" fontId="0" fillId="12" borderId="8" xfId="0" applyFont="1" applyFill="1" applyBorder="1" applyAlignment="1">
      <alignment horizontal="center" vertical="center" wrapText="1"/>
    </xf>
    <xf numFmtId="0" fontId="0" fillId="12" borderId="9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 cap="flat" cmpd="sng" algn="ctr">
                <a:solidFill>
                  <a:srgbClr val="FFFF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Dashboard!$A$15:$A$21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Dashboard!$B$15:$B$21</c:f>
              <c:numCache>
                <c:formatCode>General</c:formatCode>
                <c:ptCount val="7"/>
                <c:pt idx="0">
                  <c:v>593235</c:v>
                </c:pt>
                <c:pt idx="1">
                  <c:v>578885</c:v>
                </c:pt>
                <c:pt idx="2">
                  <c:v>656700</c:v>
                </c:pt>
                <c:pt idx="3">
                  <c:v>578330</c:v>
                </c:pt>
                <c:pt idx="4">
                  <c:v>514810</c:v>
                </c:pt>
                <c:pt idx="5">
                  <c:v>598810</c:v>
                </c:pt>
                <c:pt idx="6">
                  <c:v>559590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A-46CB-B51B-A0A244E69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013127"/>
        <c:axId val="1571017735"/>
      </c:lineChart>
      <c:catAx>
        <c:axId val="1571013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layout>
            <c:manualLayout>
              <c:xMode val="edge"/>
              <c:yMode val="edge"/>
              <c:x val="0.45995569513496964"/>
              <c:y val="0.9033427756654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17735"/>
        <c:crosses val="autoZero"/>
        <c:auto val="1"/>
        <c:lblAlgn val="ctr"/>
        <c:lblOffset val="100"/>
        <c:noMultiLvlLbl val="0"/>
      </c:catAx>
      <c:valAx>
        <c:axId val="1571017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13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Dashboard!$E$14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Dashboard!$D$15:$D$17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Dashboard!$E$15:$E$17</c:f>
              <c:numCache>
                <c:formatCode>General</c:formatCode>
                <c:ptCount val="3"/>
                <c:pt idx="0">
                  <c:v>396350.25</c:v>
                </c:pt>
                <c:pt idx="1">
                  <c:v>170869</c:v>
                </c:pt>
                <c:pt idx="2">
                  <c:v>145920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B-4200-83D6-510AC2155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0976775"/>
        <c:axId val="1576997895"/>
      </c:barChart>
      <c:catAx>
        <c:axId val="1570976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997895"/>
        <c:crosses val="autoZero"/>
        <c:auto val="1"/>
        <c:lblAlgn val="ctr"/>
        <c:lblOffset val="100"/>
        <c:noMultiLvlLbl val="0"/>
      </c:catAx>
      <c:valAx>
        <c:axId val="1576997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976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Dashboard!$G$15:$G$18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Dashboard!$H$15:$H$18</c:f>
              <c:numCache>
                <c:formatCode>General</c:formatCode>
                <c:ptCount val="4"/>
                <c:pt idx="0">
                  <c:v>212094</c:v>
                </c:pt>
                <c:pt idx="1">
                  <c:v>141877.75</c:v>
                </c:pt>
                <c:pt idx="2">
                  <c:v>209319</c:v>
                </c:pt>
                <c:pt idx="3">
                  <c:v>149848.5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2-4B3C-915E-D44A2DC23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72328"/>
        <c:axId val="26882568"/>
      </c:barChart>
      <c:catAx>
        <c:axId val="26872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82568"/>
        <c:crosses val="autoZero"/>
        <c:auto val="1"/>
        <c:lblAlgn val="ctr"/>
        <c:lblOffset val="100"/>
        <c:noMultiLvlLbl val="0"/>
      </c:catAx>
      <c:valAx>
        <c:axId val="2688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72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Dashboard!$J$15:$J$18</c:f>
              <c:strCache>
                <c:ptCount val="4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Neha</c:v>
                </c:pt>
              </c:strCache>
            </c:strRef>
          </c:cat>
          <c:val>
            <c:numRef>
              <c:f>Dashboard!$K$15:$K$18</c:f>
              <c:numCache>
                <c:formatCode>General</c:formatCode>
                <c:ptCount val="4"/>
                <c:pt idx="0">
                  <c:v>1209995</c:v>
                </c:pt>
                <c:pt idx="1">
                  <c:v>792980</c:v>
                </c:pt>
                <c:pt idx="2">
                  <c:v>1226170</c:v>
                </c:pt>
                <c:pt idx="3">
                  <c:v>851215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7-4D8B-9334-8A006B5F5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92712"/>
        <c:axId val="29194760"/>
      </c:barChart>
      <c:catAx>
        <c:axId val="29192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4760"/>
        <c:crosses val="autoZero"/>
        <c:auto val="1"/>
        <c:lblAlgn val="ctr"/>
        <c:lblOffset val="100"/>
        <c:noMultiLvlLbl val="0"/>
      </c:catAx>
      <c:valAx>
        <c:axId val="2919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2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Dashboard!$P$14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Dashboard!$M$15:$M$17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Dashboard!$P$15:$P$17</c:f>
              <c:numCache>
                <c:formatCode>0%</c:formatCode>
                <c:ptCount val="3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2-4D0D-9D51-824870262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61992"/>
        <c:axId val="39661576"/>
      </c:barChart>
      <c:catAx>
        <c:axId val="29161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1576"/>
        <c:crosses val="autoZero"/>
        <c:auto val="1"/>
        <c:lblAlgn val="ctr"/>
        <c:lblOffset val="100"/>
        <c:noMultiLvlLbl val="0"/>
      </c:catAx>
      <c:valAx>
        <c:axId val="3966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1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Dashboard!$T$14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Dashboard!$S$15:$S$24</c:f>
              <c:strCache>
                <c:ptCount val="10"/>
                <c:pt idx="0">
                  <c:v>Laptop</c:v>
                </c:pt>
                <c:pt idx="1">
                  <c:v>Office Chair</c:v>
                </c:pt>
                <c:pt idx="2">
                  <c:v>Smartphone</c:v>
                </c:pt>
                <c:pt idx="3">
                  <c:v>Desk</c:v>
                </c:pt>
                <c:pt idx="4">
                  <c:v>Headphones</c:v>
                </c:pt>
                <c:pt idx="5">
                  <c:v>Monitor</c:v>
                </c:pt>
                <c:pt idx="6">
                  <c:v>Keyboard</c:v>
                </c:pt>
                <c:pt idx="7">
                  <c:v>Printer</c:v>
                </c:pt>
                <c:pt idx="8">
                  <c:v>Bookshelf</c:v>
                </c:pt>
                <c:pt idx="9">
                  <c:v>Mouse</c:v>
                </c:pt>
              </c:strCache>
            </c:strRef>
          </c:cat>
          <c:val>
            <c:numRef>
              <c:f>Dashboard!$T$15:$T$24</c:f>
              <c:numCache>
                <c:formatCode>General</c:formatCode>
                <c:ptCount val="10"/>
                <c:pt idx="0">
                  <c:v>915200</c:v>
                </c:pt>
                <c:pt idx="1">
                  <c:v>332180</c:v>
                </c:pt>
                <c:pt idx="2">
                  <c:v>843520</c:v>
                </c:pt>
                <c:pt idx="3">
                  <c:v>287040</c:v>
                </c:pt>
                <c:pt idx="4">
                  <c:v>199500</c:v>
                </c:pt>
                <c:pt idx="5">
                  <c:v>513720</c:v>
                </c:pt>
                <c:pt idx="6">
                  <c:v>242820</c:v>
                </c:pt>
                <c:pt idx="7">
                  <c:v>369895</c:v>
                </c:pt>
                <c:pt idx="8">
                  <c:v>235125</c:v>
                </c:pt>
                <c:pt idx="9">
                  <c:v>141360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7-40EA-BB87-3E9173465022}"/>
            </c:ext>
          </c:extLst>
        </c:ser>
        <c:ser>
          <c:idx val="1"/>
          <c:order val="1"/>
          <c:tx>
            <c:strRef>
              <c:f>Dashboard!$U$14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Dashboard!$S$15:$S$24</c:f>
              <c:strCache>
                <c:ptCount val="10"/>
                <c:pt idx="0">
                  <c:v>Laptop</c:v>
                </c:pt>
                <c:pt idx="1">
                  <c:v>Office Chair</c:v>
                </c:pt>
                <c:pt idx="2">
                  <c:v>Smartphone</c:v>
                </c:pt>
                <c:pt idx="3">
                  <c:v>Desk</c:v>
                </c:pt>
                <c:pt idx="4">
                  <c:v>Headphones</c:v>
                </c:pt>
                <c:pt idx="5">
                  <c:v>Monitor</c:v>
                </c:pt>
                <c:pt idx="6">
                  <c:v>Keyboard</c:v>
                </c:pt>
                <c:pt idx="7">
                  <c:v>Printer</c:v>
                </c:pt>
                <c:pt idx="8">
                  <c:v>Bookshelf</c:v>
                </c:pt>
                <c:pt idx="9">
                  <c:v>Mouse</c:v>
                </c:pt>
              </c:strCache>
            </c:strRef>
          </c:cat>
          <c:val>
            <c:numRef>
              <c:f>Dashboard!$U$15:$U$24</c:f>
              <c:numCache>
                <c:formatCode>General</c:formatCode>
                <c:ptCount val="10"/>
                <c:pt idx="0">
                  <c:v>137280</c:v>
                </c:pt>
                <c:pt idx="1">
                  <c:v>66436</c:v>
                </c:pt>
                <c:pt idx="2">
                  <c:v>126528</c:v>
                </c:pt>
                <c:pt idx="3">
                  <c:v>57408</c:v>
                </c:pt>
                <c:pt idx="4">
                  <c:v>49875</c:v>
                </c:pt>
                <c:pt idx="5">
                  <c:v>77058</c:v>
                </c:pt>
                <c:pt idx="6">
                  <c:v>60705</c:v>
                </c:pt>
                <c:pt idx="7">
                  <c:v>55484.25</c:v>
                </c:pt>
                <c:pt idx="8">
                  <c:v>47025</c:v>
                </c:pt>
                <c:pt idx="9">
                  <c:v>35340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77-40EA-BB87-3E9173465022}"/>
            </c:ext>
          </c:extLst>
        </c:ser>
        <c:ser>
          <c:idx val="2"/>
          <c:order val="2"/>
          <c:tx>
            <c:strRef>
              <c:f>Dashboard!$V$14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Dashboard!$S$15:$S$24</c:f>
              <c:strCache>
                <c:ptCount val="10"/>
                <c:pt idx="0">
                  <c:v>Laptop</c:v>
                </c:pt>
                <c:pt idx="1">
                  <c:v>Office Chair</c:v>
                </c:pt>
                <c:pt idx="2">
                  <c:v>Smartphone</c:v>
                </c:pt>
                <c:pt idx="3">
                  <c:v>Desk</c:v>
                </c:pt>
                <c:pt idx="4">
                  <c:v>Headphones</c:v>
                </c:pt>
                <c:pt idx="5">
                  <c:v>Monitor</c:v>
                </c:pt>
                <c:pt idx="6">
                  <c:v>Keyboard</c:v>
                </c:pt>
                <c:pt idx="7">
                  <c:v>Printer</c:v>
                </c:pt>
                <c:pt idx="8">
                  <c:v>Bookshelf</c:v>
                </c:pt>
                <c:pt idx="9">
                  <c:v>Mouse</c:v>
                </c:pt>
              </c:strCache>
            </c:strRef>
          </c:cat>
          <c:val>
            <c:numRef>
              <c:f>Dashboard!$V$15:$V$24</c:f>
              <c:numCache>
                <c:formatCode>General</c:formatCode>
                <c:ptCount val="10"/>
                <c:pt idx="0">
                  <c:v>18</c:v>
                </c:pt>
                <c:pt idx="1">
                  <c:v>43</c:v>
                </c:pt>
                <c:pt idx="2">
                  <c:v>28</c:v>
                </c:pt>
                <c:pt idx="3">
                  <c:v>26</c:v>
                </c:pt>
                <c:pt idx="4">
                  <c:v>84</c:v>
                </c:pt>
                <c:pt idx="5">
                  <c:v>31</c:v>
                </c:pt>
                <c:pt idx="6">
                  <c:v>142</c:v>
                </c:pt>
                <c:pt idx="7">
                  <c:v>28</c:v>
                </c:pt>
                <c:pt idx="8">
                  <c:v>33</c:v>
                </c:pt>
                <c:pt idx="9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77-40EA-BB87-3E9173465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73928"/>
        <c:axId val="29076488"/>
      </c:barChart>
      <c:catAx>
        <c:axId val="29073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76488"/>
        <c:crosses val="autoZero"/>
        <c:auto val="1"/>
        <c:lblAlgn val="ctr"/>
        <c:lblOffset val="100"/>
        <c:noMultiLvlLbl val="0"/>
      </c:catAx>
      <c:valAx>
        <c:axId val="2907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7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Dashboard!$U$14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Dashboard!$S$15:$S$24</c:f>
              <c:strCache>
                <c:ptCount val="10"/>
                <c:pt idx="0">
                  <c:v>Laptop</c:v>
                </c:pt>
                <c:pt idx="1">
                  <c:v>Office Chair</c:v>
                </c:pt>
                <c:pt idx="2">
                  <c:v>Smartphone</c:v>
                </c:pt>
                <c:pt idx="3">
                  <c:v>Desk</c:v>
                </c:pt>
                <c:pt idx="4">
                  <c:v>Headphones</c:v>
                </c:pt>
                <c:pt idx="5">
                  <c:v>Monitor</c:v>
                </c:pt>
                <c:pt idx="6">
                  <c:v>Keyboard</c:v>
                </c:pt>
                <c:pt idx="7">
                  <c:v>Printer</c:v>
                </c:pt>
                <c:pt idx="8">
                  <c:v>Bookshelf</c:v>
                </c:pt>
                <c:pt idx="9">
                  <c:v>Mouse</c:v>
                </c:pt>
              </c:strCache>
            </c:strRef>
          </c:cat>
          <c:val>
            <c:numRef>
              <c:f>Dashboard!$U$15:$U$24</c:f>
              <c:numCache>
                <c:formatCode>General</c:formatCode>
                <c:ptCount val="10"/>
                <c:pt idx="0">
                  <c:v>137280</c:v>
                </c:pt>
                <c:pt idx="1">
                  <c:v>66436</c:v>
                </c:pt>
                <c:pt idx="2">
                  <c:v>126528</c:v>
                </c:pt>
                <c:pt idx="3">
                  <c:v>57408</c:v>
                </c:pt>
                <c:pt idx="4">
                  <c:v>49875</c:v>
                </c:pt>
                <c:pt idx="5">
                  <c:v>77058</c:v>
                </c:pt>
                <c:pt idx="6">
                  <c:v>60705</c:v>
                </c:pt>
                <c:pt idx="7">
                  <c:v>55484.25</c:v>
                </c:pt>
                <c:pt idx="8">
                  <c:v>47025</c:v>
                </c:pt>
                <c:pt idx="9">
                  <c:v>35340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F-42AB-A5BD-94FE37CC3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99368"/>
        <c:axId val="29816328"/>
      </c:barChart>
      <c:catAx>
        <c:axId val="48399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6328"/>
        <c:crosses val="autoZero"/>
        <c:auto val="1"/>
        <c:lblAlgn val="ctr"/>
        <c:lblOffset val="100"/>
        <c:noMultiLvlLbl val="0"/>
      </c:catAx>
      <c:valAx>
        <c:axId val="2981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180975</xdr:rowOff>
    </xdr:from>
    <xdr:to>
      <xdr:col>7</xdr:col>
      <xdr:colOff>552450</xdr:colOff>
      <xdr:row>37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CF474-AC08-5AAF-7636-A49CE3A61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22</xdr:row>
      <xdr:rowOff>0</xdr:rowOff>
    </xdr:from>
    <xdr:to>
      <xdr:col>16</xdr:col>
      <xdr:colOff>590550</xdr:colOff>
      <xdr:row>37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DEB848-8014-6F68-D2FA-E747E2575794}"/>
            </a:ext>
            <a:ext uri="{147F2762-F138-4A5C-976F-8EAC2B608ADB}">
              <a16:predDERef xmlns:a16="http://schemas.microsoft.com/office/drawing/2014/main" pred="{7DDCF474-AC08-5AAF-7636-A49CE3A61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7</xdr:col>
      <xdr:colOff>552450</xdr:colOff>
      <xdr:row>54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CFD6CA-0E0B-9F05-1DD1-99BA07C95144}"/>
            </a:ext>
            <a:ext uri="{147F2762-F138-4A5C-976F-8EAC2B608ADB}">
              <a16:predDERef xmlns:a16="http://schemas.microsoft.com/office/drawing/2014/main" pred="{E4DEB848-8014-6F68-D2FA-E747E2575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38</xdr:row>
      <xdr:rowOff>180975</xdr:rowOff>
    </xdr:from>
    <xdr:to>
      <xdr:col>16</xdr:col>
      <xdr:colOff>590550</xdr:colOff>
      <xdr:row>54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785AFC-2529-541D-70D6-972B2E0584DC}"/>
            </a:ext>
            <a:ext uri="{147F2762-F138-4A5C-976F-8EAC2B608ADB}">
              <a16:predDERef xmlns:a16="http://schemas.microsoft.com/office/drawing/2014/main" pred="{4BCFD6CA-0E0B-9F05-1DD1-99BA07C95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56</xdr:row>
      <xdr:rowOff>9525</xdr:rowOff>
    </xdr:from>
    <xdr:to>
      <xdr:col>7</xdr:col>
      <xdr:colOff>571500</xdr:colOff>
      <xdr:row>71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2C5859-0093-43CF-0E79-D739D00C688D}"/>
            </a:ext>
            <a:ext uri="{147F2762-F138-4A5C-976F-8EAC2B608ADB}">
              <a16:predDERef xmlns:a16="http://schemas.microsoft.com/office/drawing/2014/main" pred="{5A785AFC-2529-541D-70D6-972B2E058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552450</xdr:colOff>
      <xdr:row>89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5CD6E1-B81C-16E1-1A91-731C59E2FE79}"/>
            </a:ext>
            <a:ext uri="{147F2762-F138-4A5C-976F-8EAC2B608ADB}">
              <a16:predDERef xmlns:a16="http://schemas.microsoft.com/office/drawing/2014/main" pred="{7E2C5859-0093-43CF-0E79-D739D00C6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74</xdr:row>
      <xdr:rowOff>0</xdr:rowOff>
    </xdr:from>
    <xdr:to>
      <xdr:col>16</xdr:col>
      <xdr:colOff>514350</xdr:colOff>
      <xdr:row>89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D59CE6-27B1-44BF-1287-8E6EC172174C}"/>
            </a:ext>
            <a:ext uri="{147F2762-F138-4A5C-976F-8EAC2B608ADB}">
              <a16:predDERef xmlns:a16="http://schemas.microsoft.com/office/drawing/2014/main" pred="{605CD6E1-B81C-16E1-1A91-731C59E2F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activeCell="F6" sqref="F6"/>
    </sheetView>
  </sheetViews>
  <sheetFormatPr defaultRowHeight="15"/>
  <cols>
    <col min="1" max="1" width="8.5703125" bestFit="1" customWidth="1"/>
    <col min="2" max="2" width="10.85546875" bestFit="1" customWidth="1"/>
    <col min="3" max="3" width="12.140625" bestFit="1" customWidth="1"/>
    <col min="4" max="4" width="11.140625" bestFit="1" customWidth="1"/>
    <col min="5" max="5" width="7.140625" bestFit="1" customWidth="1"/>
    <col min="6" max="6" width="11.5703125" bestFit="1" customWidth="1"/>
    <col min="7" max="7" width="8.7109375" bestFit="1" customWidth="1"/>
    <col min="8" max="8" width="9.7109375" bestFit="1" customWidth="1"/>
    <col min="9" max="9" width="8.7109375" bestFit="1" customWidth="1"/>
    <col min="10" max="10" width="8.85546875" bestFit="1" customWidth="1"/>
    <col min="11" max="11" width="6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46025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55000</v>
      </c>
      <c r="I2">
        <f>H2*G2*(1-J2)</f>
        <v>104500</v>
      </c>
      <c r="J2" s="2">
        <v>0.05</v>
      </c>
      <c r="K2">
        <f>I2*IF(D2="Technology",15%,IF(D2="Furniture",20%,25%))</f>
        <v>15675</v>
      </c>
    </row>
    <row r="3" spans="1:11">
      <c r="A3" t="s">
        <v>16</v>
      </c>
      <c r="B3" s="1">
        <v>46026</v>
      </c>
      <c r="C3" t="s">
        <v>17</v>
      </c>
      <c r="D3" t="s">
        <v>18</v>
      </c>
      <c r="E3" t="s">
        <v>19</v>
      </c>
      <c r="F3" t="s">
        <v>20</v>
      </c>
      <c r="G3">
        <v>4</v>
      </c>
      <c r="H3">
        <v>8500</v>
      </c>
      <c r="I3">
        <f t="shared" ref="I3:I66" si="0">H3*G3*(1-J3)</f>
        <v>30600</v>
      </c>
      <c r="J3" s="2">
        <v>0.1</v>
      </c>
      <c r="K3">
        <f t="shared" ref="K3:K66" si="1">I3*IF(D3="Technology",15%,IF(D3="Furniture",20%,25%))</f>
        <v>6120</v>
      </c>
    </row>
    <row r="4" spans="1:11">
      <c r="A4" t="s">
        <v>21</v>
      </c>
      <c r="B4" s="1">
        <v>46027</v>
      </c>
      <c r="C4" t="s">
        <v>22</v>
      </c>
      <c r="D4" t="s">
        <v>13</v>
      </c>
      <c r="E4" t="s">
        <v>23</v>
      </c>
      <c r="F4" t="s">
        <v>24</v>
      </c>
      <c r="G4">
        <v>3</v>
      </c>
      <c r="H4">
        <v>32000</v>
      </c>
      <c r="I4">
        <f t="shared" si="0"/>
        <v>91200</v>
      </c>
      <c r="J4" s="2">
        <v>0.05</v>
      </c>
      <c r="K4">
        <f t="shared" si="1"/>
        <v>13680</v>
      </c>
    </row>
    <row r="5" spans="1:11">
      <c r="A5" t="s">
        <v>25</v>
      </c>
      <c r="B5" s="1">
        <v>46029</v>
      </c>
      <c r="C5" t="s">
        <v>26</v>
      </c>
      <c r="D5" t="s">
        <v>18</v>
      </c>
      <c r="E5" t="s">
        <v>27</v>
      </c>
      <c r="F5" t="s">
        <v>28</v>
      </c>
      <c r="G5">
        <v>2</v>
      </c>
      <c r="H5">
        <v>12000</v>
      </c>
      <c r="I5">
        <f t="shared" si="0"/>
        <v>22080</v>
      </c>
      <c r="J5" s="2">
        <v>0.08</v>
      </c>
      <c r="K5">
        <f t="shared" si="1"/>
        <v>4416</v>
      </c>
    </row>
    <row r="6" spans="1:11">
      <c r="A6" t="s">
        <v>29</v>
      </c>
      <c r="B6" s="1">
        <v>46031</v>
      </c>
      <c r="C6" t="s">
        <v>30</v>
      </c>
      <c r="D6" t="s">
        <v>31</v>
      </c>
      <c r="E6" t="s">
        <v>14</v>
      </c>
      <c r="F6" t="s">
        <v>15</v>
      </c>
      <c r="G6">
        <v>8</v>
      </c>
      <c r="H6">
        <v>2500</v>
      </c>
      <c r="I6">
        <f t="shared" si="0"/>
        <v>19000</v>
      </c>
      <c r="J6" s="2">
        <v>0.05</v>
      </c>
      <c r="K6">
        <f t="shared" si="1"/>
        <v>4750</v>
      </c>
    </row>
    <row r="7" spans="1:11">
      <c r="A7" t="s">
        <v>32</v>
      </c>
      <c r="B7" s="1">
        <v>46033</v>
      </c>
      <c r="C7" t="s">
        <v>33</v>
      </c>
      <c r="D7" t="s">
        <v>13</v>
      </c>
      <c r="E7" t="s">
        <v>19</v>
      </c>
      <c r="F7" t="s">
        <v>20</v>
      </c>
      <c r="G7">
        <v>3</v>
      </c>
      <c r="H7">
        <v>18000</v>
      </c>
      <c r="I7">
        <f t="shared" si="0"/>
        <v>50220</v>
      </c>
      <c r="J7" s="2">
        <v>7.0000000000000007E-2</v>
      </c>
      <c r="K7">
        <f t="shared" si="1"/>
        <v>7533</v>
      </c>
    </row>
    <row r="8" spans="1:11">
      <c r="A8" t="s">
        <v>34</v>
      </c>
      <c r="B8" s="1">
        <v>46034</v>
      </c>
      <c r="C8" t="s">
        <v>35</v>
      </c>
      <c r="D8" t="s">
        <v>31</v>
      </c>
      <c r="E8" t="s">
        <v>23</v>
      </c>
      <c r="F8" t="s">
        <v>24</v>
      </c>
      <c r="G8">
        <v>10</v>
      </c>
      <c r="H8">
        <v>1800</v>
      </c>
      <c r="I8">
        <f t="shared" si="0"/>
        <v>17100</v>
      </c>
      <c r="J8" s="2">
        <v>0.05</v>
      </c>
      <c r="K8">
        <f t="shared" si="1"/>
        <v>4275</v>
      </c>
    </row>
    <row r="9" spans="1:11">
      <c r="A9" t="s">
        <v>36</v>
      </c>
      <c r="B9" s="1">
        <v>46036</v>
      </c>
      <c r="C9" t="s">
        <v>37</v>
      </c>
      <c r="D9" t="s">
        <v>13</v>
      </c>
      <c r="E9" t="s">
        <v>27</v>
      </c>
      <c r="F9" t="s">
        <v>28</v>
      </c>
      <c r="G9">
        <v>2</v>
      </c>
      <c r="H9">
        <v>14500</v>
      </c>
      <c r="I9">
        <f t="shared" si="0"/>
        <v>26100</v>
      </c>
      <c r="J9" s="2">
        <v>0.1</v>
      </c>
      <c r="K9">
        <f t="shared" si="1"/>
        <v>3915</v>
      </c>
    </row>
    <row r="10" spans="1:11">
      <c r="A10" t="s">
        <v>38</v>
      </c>
      <c r="B10" s="1">
        <v>46038</v>
      </c>
      <c r="C10" t="s">
        <v>39</v>
      </c>
      <c r="D10" t="s">
        <v>18</v>
      </c>
      <c r="E10" t="s">
        <v>14</v>
      </c>
      <c r="F10" t="s">
        <v>15</v>
      </c>
      <c r="G10">
        <v>3</v>
      </c>
      <c r="H10">
        <v>7500</v>
      </c>
      <c r="I10">
        <f t="shared" si="0"/>
        <v>21375</v>
      </c>
      <c r="J10" s="2">
        <v>0.05</v>
      </c>
      <c r="K10">
        <f t="shared" si="1"/>
        <v>4275</v>
      </c>
    </row>
    <row r="11" spans="1:11">
      <c r="A11" t="s">
        <v>40</v>
      </c>
      <c r="B11" s="1">
        <v>46040</v>
      </c>
      <c r="C11" t="s">
        <v>41</v>
      </c>
      <c r="D11" t="s">
        <v>31</v>
      </c>
      <c r="E11" t="s">
        <v>19</v>
      </c>
      <c r="F11" t="s">
        <v>20</v>
      </c>
      <c r="G11">
        <v>12</v>
      </c>
      <c r="H11">
        <v>1200</v>
      </c>
      <c r="I11">
        <f t="shared" si="0"/>
        <v>13680</v>
      </c>
      <c r="J11" s="2">
        <v>0.05</v>
      </c>
      <c r="K11">
        <f t="shared" si="1"/>
        <v>3420</v>
      </c>
    </row>
    <row r="12" spans="1:11">
      <c r="A12" t="s">
        <v>42</v>
      </c>
      <c r="B12" s="1">
        <v>46042</v>
      </c>
      <c r="C12" t="s">
        <v>12</v>
      </c>
      <c r="D12" t="s">
        <v>13</v>
      </c>
      <c r="E12" t="s">
        <v>23</v>
      </c>
      <c r="F12" t="s">
        <v>24</v>
      </c>
      <c r="G12">
        <v>1</v>
      </c>
      <c r="H12">
        <v>55000</v>
      </c>
      <c r="I12">
        <f t="shared" si="0"/>
        <v>50600</v>
      </c>
      <c r="J12" s="2">
        <v>0.08</v>
      </c>
      <c r="K12">
        <f t="shared" si="1"/>
        <v>7590</v>
      </c>
    </row>
    <row r="13" spans="1:11">
      <c r="A13" t="s">
        <v>43</v>
      </c>
      <c r="B13" s="1">
        <v>46044</v>
      </c>
      <c r="C13" t="s">
        <v>17</v>
      </c>
      <c r="D13" t="s">
        <v>18</v>
      </c>
      <c r="E13" t="s">
        <v>27</v>
      </c>
      <c r="F13" t="s">
        <v>28</v>
      </c>
      <c r="G13">
        <v>5</v>
      </c>
      <c r="H13">
        <v>8500</v>
      </c>
      <c r="I13">
        <f t="shared" si="0"/>
        <v>38250</v>
      </c>
      <c r="J13" s="2">
        <v>0.1</v>
      </c>
      <c r="K13">
        <f t="shared" si="1"/>
        <v>7650</v>
      </c>
    </row>
    <row r="14" spans="1:11">
      <c r="A14" t="s">
        <v>44</v>
      </c>
      <c r="B14" s="1">
        <v>46046</v>
      </c>
      <c r="C14" t="s">
        <v>22</v>
      </c>
      <c r="D14" t="s">
        <v>13</v>
      </c>
      <c r="E14" t="s">
        <v>14</v>
      </c>
      <c r="F14" t="s">
        <v>15</v>
      </c>
      <c r="G14">
        <v>2</v>
      </c>
      <c r="H14">
        <v>32000</v>
      </c>
      <c r="I14">
        <f t="shared" si="0"/>
        <v>60800</v>
      </c>
      <c r="J14" s="2">
        <v>0.05</v>
      </c>
      <c r="K14">
        <f t="shared" si="1"/>
        <v>9120</v>
      </c>
    </row>
    <row r="15" spans="1:11">
      <c r="A15" t="s">
        <v>45</v>
      </c>
      <c r="B15" s="1">
        <v>46048</v>
      </c>
      <c r="C15" t="s">
        <v>26</v>
      </c>
      <c r="D15" t="s">
        <v>18</v>
      </c>
      <c r="E15" t="s">
        <v>19</v>
      </c>
      <c r="F15" t="s">
        <v>20</v>
      </c>
      <c r="G15">
        <v>3</v>
      </c>
      <c r="H15">
        <v>12000</v>
      </c>
      <c r="I15">
        <f t="shared" si="0"/>
        <v>33480</v>
      </c>
      <c r="J15" s="2">
        <v>7.0000000000000007E-2</v>
      </c>
      <c r="K15">
        <f t="shared" si="1"/>
        <v>6696</v>
      </c>
    </row>
    <row r="16" spans="1:11">
      <c r="A16" t="s">
        <v>46</v>
      </c>
      <c r="B16" s="1">
        <v>46050</v>
      </c>
      <c r="C16" t="s">
        <v>30</v>
      </c>
      <c r="D16" t="s">
        <v>31</v>
      </c>
      <c r="E16" t="s">
        <v>23</v>
      </c>
      <c r="F16" t="s">
        <v>24</v>
      </c>
      <c r="G16">
        <v>6</v>
      </c>
      <c r="H16">
        <v>2500</v>
      </c>
      <c r="I16">
        <f t="shared" si="0"/>
        <v>14250</v>
      </c>
      <c r="J16" s="2">
        <v>0.05</v>
      </c>
      <c r="K16">
        <f t="shared" si="1"/>
        <v>3562.5</v>
      </c>
    </row>
    <row r="17" spans="1:11">
      <c r="A17" t="s">
        <v>47</v>
      </c>
      <c r="B17" s="1">
        <v>46055</v>
      </c>
      <c r="C17" t="s">
        <v>33</v>
      </c>
      <c r="D17" t="s">
        <v>13</v>
      </c>
      <c r="E17" t="s">
        <v>27</v>
      </c>
      <c r="F17" t="s">
        <v>28</v>
      </c>
      <c r="G17">
        <v>4</v>
      </c>
      <c r="H17">
        <v>18000</v>
      </c>
      <c r="I17">
        <f t="shared" si="0"/>
        <v>66240</v>
      </c>
      <c r="J17" s="2">
        <v>0.08</v>
      </c>
      <c r="K17">
        <f t="shared" si="1"/>
        <v>9936</v>
      </c>
    </row>
    <row r="18" spans="1:11">
      <c r="A18" t="s">
        <v>48</v>
      </c>
      <c r="B18" s="1">
        <v>46057</v>
      </c>
      <c r="C18" t="s">
        <v>35</v>
      </c>
      <c r="D18" t="s">
        <v>31</v>
      </c>
      <c r="E18" t="s">
        <v>14</v>
      </c>
      <c r="F18" t="s">
        <v>15</v>
      </c>
      <c r="G18">
        <v>15</v>
      </c>
      <c r="H18">
        <v>1800</v>
      </c>
      <c r="I18">
        <f t="shared" si="0"/>
        <v>25650</v>
      </c>
      <c r="J18" s="2">
        <v>0.05</v>
      </c>
      <c r="K18">
        <f t="shared" si="1"/>
        <v>6412.5</v>
      </c>
    </row>
    <row r="19" spans="1:11">
      <c r="A19" t="s">
        <v>49</v>
      </c>
      <c r="B19" s="1">
        <v>46059</v>
      </c>
      <c r="C19" t="s">
        <v>37</v>
      </c>
      <c r="D19" t="s">
        <v>13</v>
      </c>
      <c r="E19" t="s">
        <v>19</v>
      </c>
      <c r="F19" t="s">
        <v>20</v>
      </c>
      <c r="G19">
        <v>3</v>
      </c>
      <c r="H19">
        <v>14500</v>
      </c>
      <c r="I19">
        <f t="shared" si="0"/>
        <v>39150</v>
      </c>
      <c r="J19" s="2">
        <v>0.1</v>
      </c>
      <c r="K19">
        <f t="shared" si="1"/>
        <v>5872.5</v>
      </c>
    </row>
    <row r="20" spans="1:11">
      <c r="A20" t="s">
        <v>50</v>
      </c>
      <c r="B20" s="1">
        <v>46061</v>
      </c>
      <c r="C20" t="s">
        <v>39</v>
      </c>
      <c r="D20" t="s">
        <v>18</v>
      </c>
      <c r="E20" t="s">
        <v>23</v>
      </c>
      <c r="F20" t="s">
        <v>24</v>
      </c>
      <c r="G20">
        <v>4</v>
      </c>
      <c r="H20">
        <v>7500</v>
      </c>
      <c r="I20">
        <f t="shared" si="0"/>
        <v>28500</v>
      </c>
      <c r="J20" s="2">
        <v>0.05</v>
      </c>
      <c r="K20">
        <f t="shared" si="1"/>
        <v>5700</v>
      </c>
    </row>
    <row r="21" spans="1:11">
      <c r="A21" t="s">
        <v>51</v>
      </c>
      <c r="B21" s="1">
        <v>46063</v>
      </c>
      <c r="C21" t="s">
        <v>41</v>
      </c>
      <c r="D21" t="s">
        <v>31</v>
      </c>
      <c r="E21" t="s">
        <v>27</v>
      </c>
      <c r="F21" t="s">
        <v>28</v>
      </c>
      <c r="G21">
        <v>10</v>
      </c>
      <c r="H21">
        <v>1200</v>
      </c>
      <c r="I21">
        <f t="shared" si="0"/>
        <v>11400</v>
      </c>
      <c r="J21" s="2">
        <v>0.05</v>
      </c>
      <c r="K21">
        <f t="shared" si="1"/>
        <v>2850</v>
      </c>
    </row>
    <row r="22" spans="1:11">
      <c r="A22" t="s">
        <v>52</v>
      </c>
      <c r="B22" s="1">
        <v>46065</v>
      </c>
      <c r="C22" t="s">
        <v>12</v>
      </c>
      <c r="D22" t="s">
        <v>13</v>
      </c>
      <c r="E22" t="s">
        <v>14</v>
      </c>
      <c r="F22" t="s">
        <v>15</v>
      </c>
      <c r="G22">
        <v>2</v>
      </c>
      <c r="H22">
        <v>55000</v>
      </c>
      <c r="I22">
        <f t="shared" si="0"/>
        <v>99000</v>
      </c>
      <c r="J22" s="2">
        <v>0.1</v>
      </c>
      <c r="K22">
        <f t="shared" si="1"/>
        <v>14850</v>
      </c>
    </row>
    <row r="23" spans="1:11">
      <c r="A23" t="s">
        <v>53</v>
      </c>
      <c r="B23" s="1">
        <v>46067</v>
      </c>
      <c r="C23" t="s">
        <v>17</v>
      </c>
      <c r="D23" t="s">
        <v>18</v>
      </c>
      <c r="E23" t="s">
        <v>19</v>
      </c>
      <c r="F23" t="s">
        <v>20</v>
      </c>
      <c r="G23">
        <v>3</v>
      </c>
      <c r="H23">
        <v>8500</v>
      </c>
      <c r="I23">
        <f t="shared" si="0"/>
        <v>24225</v>
      </c>
      <c r="J23" s="2">
        <v>0.05</v>
      </c>
      <c r="K23">
        <f t="shared" si="1"/>
        <v>4845</v>
      </c>
    </row>
    <row r="24" spans="1:11">
      <c r="A24" t="s">
        <v>54</v>
      </c>
      <c r="B24" s="1">
        <v>46069</v>
      </c>
      <c r="C24" t="s">
        <v>22</v>
      </c>
      <c r="D24" t="s">
        <v>13</v>
      </c>
      <c r="E24" t="s">
        <v>23</v>
      </c>
      <c r="F24" t="s">
        <v>24</v>
      </c>
      <c r="G24">
        <v>4</v>
      </c>
      <c r="H24">
        <v>32000</v>
      </c>
      <c r="I24">
        <f t="shared" si="0"/>
        <v>117760</v>
      </c>
      <c r="J24" s="2">
        <v>0.08</v>
      </c>
      <c r="K24">
        <f t="shared" si="1"/>
        <v>17664</v>
      </c>
    </row>
    <row r="25" spans="1:11">
      <c r="A25" t="s">
        <v>55</v>
      </c>
      <c r="B25" s="1">
        <v>46071</v>
      </c>
      <c r="C25" t="s">
        <v>26</v>
      </c>
      <c r="D25" t="s">
        <v>18</v>
      </c>
      <c r="E25" t="s">
        <v>27</v>
      </c>
      <c r="F25" t="s">
        <v>28</v>
      </c>
      <c r="G25">
        <v>2</v>
      </c>
      <c r="H25">
        <v>12000</v>
      </c>
      <c r="I25">
        <f t="shared" si="0"/>
        <v>21600</v>
      </c>
      <c r="J25" s="2">
        <v>0.1</v>
      </c>
      <c r="K25">
        <f t="shared" si="1"/>
        <v>4320</v>
      </c>
    </row>
    <row r="26" spans="1:11">
      <c r="A26" t="s">
        <v>56</v>
      </c>
      <c r="B26" s="1">
        <v>46073</v>
      </c>
      <c r="C26" t="s">
        <v>30</v>
      </c>
      <c r="D26" t="s">
        <v>31</v>
      </c>
      <c r="E26" t="s">
        <v>14</v>
      </c>
      <c r="F26" t="s">
        <v>15</v>
      </c>
      <c r="G26">
        <v>10</v>
      </c>
      <c r="H26">
        <v>2500</v>
      </c>
      <c r="I26">
        <f t="shared" si="0"/>
        <v>23750</v>
      </c>
      <c r="J26" s="2">
        <v>0.05</v>
      </c>
      <c r="K26">
        <f t="shared" si="1"/>
        <v>5937.5</v>
      </c>
    </row>
    <row r="27" spans="1:11">
      <c r="A27" t="s">
        <v>57</v>
      </c>
      <c r="B27" s="1">
        <v>46075</v>
      </c>
      <c r="C27" t="s">
        <v>33</v>
      </c>
      <c r="D27" t="s">
        <v>13</v>
      </c>
      <c r="E27" t="s">
        <v>19</v>
      </c>
      <c r="F27" t="s">
        <v>20</v>
      </c>
      <c r="G27">
        <v>2</v>
      </c>
      <c r="H27">
        <v>18000</v>
      </c>
      <c r="I27">
        <f t="shared" si="0"/>
        <v>33480</v>
      </c>
      <c r="J27" s="2">
        <v>7.0000000000000007E-2</v>
      </c>
      <c r="K27">
        <f t="shared" si="1"/>
        <v>5022</v>
      </c>
    </row>
    <row r="28" spans="1:11">
      <c r="A28" t="s">
        <v>58</v>
      </c>
      <c r="B28" s="1">
        <v>46077</v>
      </c>
      <c r="C28" t="s">
        <v>35</v>
      </c>
      <c r="D28" t="s">
        <v>31</v>
      </c>
      <c r="E28" t="s">
        <v>23</v>
      </c>
      <c r="F28" t="s">
        <v>24</v>
      </c>
      <c r="G28">
        <v>12</v>
      </c>
      <c r="H28">
        <v>1800</v>
      </c>
      <c r="I28">
        <f t="shared" si="0"/>
        <v>20520</v>
      </c>
      <c r="J28" s="2">
        <v>0.05</v>
      </c>
      <c r="K28">
        <f t="shared" si="1"/>
        <v>5130</v>
      </c>
    </row>
    <row r="29" spans="1:11">
      <c r="A29" t="s">
        <v>59</v>
      </c>
      <c r="B29" s="1">
        <v>46079</v>
      </c>
      <c r="C29" t="s">
        <v>37</v>
      </c>
      <c r="D29" t="s">
        <v>13</v>
      </c>
      <c r="E29" t="s">
        <v>27</v>
      </c>
      <c r="F29" t="s">
        <v>28</v>
      </c>
      <c r="G29">
        <v>4</v>
      </c>
      <c r="H29">
        <v>14500</v>
      </c>
      <c r="I29">
        <f t="shared" si="0"/>
        <v>53360</v>
      </c>
      <c r="J29" s="2">
        <v>0.08</v>
      </c>
      <c r="K29">
        <f t="shared" si="1"/>
        <v>8004</v>
      </c>
    </row>
    <row r="30" spans="1:11">
      <c r="A30" t="s">
        <v>60</v>
      </c>
      <c r="B30" s="1">
        <v>46081</v>
      </c>
      <c r="C30" t="s">
        <v>39</v>
      </c>
      <c r="D30" t="s">
        <v>18</v>
      </c>
      <c r="E30" t="s">
        <v>14</v>
      </c>
      <c r="F30" t="s">
        <v>15</v>
      </c>
      <c r="G30">
        <v>2</v>
      </c>
      <c r="H30">
        <v>7500</v>
      </c>
      <c r="I30">
        <f t="shared" si="0"/>
        <v>14250</v>
      </c>
      <c r="J30" s="2">
        <v>0.05</v>
      </c>
      <c r="K30">
        <f t="shared" si="1"/>
        <v>2850</v>
      </c>
    </row>
    <row r="31" spans="1:11">
      <c r="A31" t="s">
        <v>61</v>
      </c>
      <c r="B31" s="1">
        <v>46083</v>
      </c>
      <c r="C31" t="s">
        <v>41</v>
      </c>
      <c r="D31" t="s">
        <v>31</v>
      </c>
      <c r="E31" t="s">
        <v>19</v>
      </c>
      <c r="F31" t="s">
        <v>20</v>
      </c>
      <c r="G31">
        <v>15</v>
      </c>
      <c r="H31">
        <v>1200</v>
      </c>
      <c r="I31">
        <f t="shared" si="0"/>
        <v>17100</v>
      </c>
      <c r="J31" s="2">
        <v>0.05</v>
      </c>
      <c r="K31">
        <f t="shared" si="1"/>
        <v>4275</v>
      </c>
    </row>
    <row r="32" spans="1:11">
      <c r="A32" t="s">
        <v>62</v>
      </c>
      <c r="B32" s="1">
        <v>46085</v>
      </c>
      <c r="C32" t="s">
        <v>12</v>
      </c>
      <c r="D32" t="s">
        <v>13</v>
      </c>
      <c r="E32" t="s">
        <v>23</v>
      </c>
      <c r="F32" t="s">
        <v>24</v>
      </c>
      <c r="G32">
        <v>3</v>
      </c>
      <c r="H32">
        <v>55000</v>
      </c>
      <c r="I32">
        <f t="shared" si="0"/>
        <v>153450</v>
      </c>
      <c r="J32" s="2">
        <v>7.0000000000000007E-2</v>
      </c>
      <c r="K32">
        <f t="shared" si="1"/>
        <v>23017.5</v>
      </c>
    </row>
    <row r="33" spans="1:11">
      <c r="A33" t="s">
        <v>63</v>
      </c>
      <c r="B33" s="1">
        <v>46087</v>
      </c>
      <c r="C33" t="s">
        <v>17</v>
      </c>
      <c r="D33" t="s">
        <v>18</v>
      </c>
      <c r="E33" t="s">
        <v>27</v>
      </c>
      <c r="F33" t="s">
        <v>28</v>
      </c>
      <c r="G33">
        <v>4</v>
      </c>
      <c r="H33">
        <v>8500</v>
      </c>
      <c r="I33">
        <f t="shared" si="0"/>
        <v>30600</v>
      </c>
      <c r="J33" s="2">
        <v>0.1</v>
      </c>
      <c r="K33">
        <f t="shared" si="1"/>
        <v>6120</v>
      </c>
    </row>
    <row r="34" spans="1:11">
      <c r="A34" t="s">
        <v>64</v>
      </c>
      <c r="B34" s="1">
        <v>46089</v>
      </c>
      <c r="C34" t="s">
        <v>22</v>
      </c>
      <c r="D34" t="s">
        <v>13</v>
      </c>
      <c r="E34" t="s">
        <v>14</v>
      </c>
      <c r="F34" t="s">
        <v>15</v>
      </c>
      <c r="G34">
        <v>2</v>
      </c>
      <c r="H34">
        <v>32000</v>
      </c>
      <c r="I34">
        <f t="shared" si="0"/>
        <v>60800</v>
      </c>
      <c r="J34" s="2">
        <v>0.05</v>
      </c>
      <c r="K34">
        <f t="shared" si="1"/>
        <v>9120</v>
      </c>
    </row>
    <row r="35" spans="1:11">
      <c r="A35" t="s">
        <v>65</v>
      </c>
      <c r="B35" s="1">
        <v>46091</v>
      </c>
      <c r="C35" t="s">
        <v>26</v>
      </c>
      <c r="D35" t="s">
        <v>18</v>
      </c>
      <c r="E35" t="s">
        <v>19</v>
      </c>
      <c r="F35" t="s">
        <v>20</v>
      </c>
      <c r="G35">
        <v>3</v>
      </c>
      <c r="H35">
        <v>12000</v>
      </c>
      <c r="I35">
        <f t="shared" si="0"/>
        <v>33120</v>
      </c>
      <c r="J35" s="2">
        <v>0.08</v>
      </c>
      <c r="K35">
        <f t="shared" si="1"/>
        <v>6624</v>
      </c>
    </row>
    <row r="36" spans="1:11">
      <c r="A36" t="s">
        <v>66</v>
      </c>
      <c r="B36" s="1">
        <v>46093</v>
      </c>
      <c r="C36" t="s">
        <v>30</v>
      </c>
      <c r="D36" t="s">
        <v>31</v>
      </c>
      <c r="E36" t="s">
        <v>23</v>
      </c>
      <c r="F36" t="s">
        <v>24</v>
      </c>
      <c r="G36">
        <v>7</v>
      </c>
      <c r="H36">
        <v>2500</v>
      </c>
      <c r="I36">
        <f t="shared" si="0"/>
        <v>16625</v>
      </c>
      <c r="J36" s="2">
        <v>0.05</v>
      </c>
      <c r="K36">
        <f t="shared" si="1"/>
        <v>4156.25</v>
      </c>
    </row>
    <row r="37" spans="1:11">
      <c r="A37" t="s">
        <v>67</v>
      </c>
      <c r="B37" s="1">
        <v>46095</v>
      </c>
      <c r="C37" t="s">
        <v>33</v>
      </c>
      <c r="D37" t="s">
        <v>13</v>
      </c>
      <c r="E37" t="s">
        <v>27</v>
      </c>
      <c r="F37" t="s">
        <v>28</v>
      </c>
      <c r="G37">
        <v>3</v>
      </c>
      <c r="H37">
        <v>18000</v>
      </c>
      <c r="I37">
        <f t="shared" si="0"/>
        <v>48600</v>
      </c>
      <c r="J37" s="2">
        <v>0.1</v>
      </c>
      <c r="K37">
        <f t="shared" si="1"/>
        <v>7290</v>
      </c>
    </row>
    <row r="38" spans="1:11">
      <c r="A38" t="s">
        <v>68</v>
      </c>
      <c r="B38" s="1">
        <v>46097</v>
      </c>
      <c r="C38" t="s">
        <v>35</v>
      </c>
      <c r="D38" t="s">
        <v>31</v>
      </c>
      <c r="E38" t="s">
        <v>14</v>
      </c>
      <c r="F38" t="s">
        <v>15</v>
      </c>
      <c r="G38">
        <v>18</v>
      </c>
      <c r="H38">
        <v>1800</v>
      </c>
      <c r="I38">
        <f t="shared" si="0"/>
        <v>30780</v>
      </c>
      <c r="J38" s="2">
        <v>0.05</v>
      </c>
      <c r="K38">
        <f t="shared" si="1"/>
        <v>7695</v>
      </c>
    </row>
    <row r="39" spans="1:11">
      <c r="A39" t="s">
        <v>69</v>
      </c>
      <c r="B39" s="1">
        <v>46099</v>
      </c>
      <c r="C39" t="s">
        <v>37</v>
      </c>
      <c r="D39" t="s">
        <v>13</v>
      </c>
      <c r="E39" t="s">
        <v>19</v>
      </c>
      <c r="F39" t="s">
        <v>20</v>
      </c>
      <c r="G39">
        <v>2</v>
      </c>
      <c r="H39">
        <v>14500</v>
      </c>
      <c r="I39">
        <f t="shared" si="0"/>
        <v>26970</v>
      </c>
      <c r="J39" s="2">
        <v>7.0000000000000007E-2</v>
      </c>
      <c r="K39">
        <f t="shared" si="1"/>
        <v>4045.5</v>
      </c>
    </row>
    <row r="40" spans="1:11">
      <c r="A40" t="s">
        <v>70</v>
      </c>
      <c r="B40" s="1">
        <v>46101</v>
      </c>
      <c r="C40" t="s">
        <v>39</v>
      </c>
      <c r="D40" t="s">
        <v>18</v>
      </c>
      <c r="E40" t="s">
        <v>23</v>
      </c>
      <c r="F40" t="s">
        <v>24</v>
      </c>
      <c r="G40">
        <v>5</v>
      </c>
      <c r="H40">
        <v>7500</v>
      </c>
      <c r="I40">
        <f t="shared" si="0"/>
        <v>35625</v>
      </c>
      <c r="J40" s="2">
        <v>0.05</v>
      </c>
      <c r="K40">
        <f t="shared" si="1"/>
        <v>7125</v>
      </c>
    </row>
    <row r="41" spans="1:11">
      <c r="A41" t="s">
        <v>71</v>
      </c>
      <c r="B41" s="1">
        <v>46103</v>
      </c>
      <c r="C41" t="s">
        <v>41</v>
      </c>
      <c r="D41" t="s">
        <v>31</v>
      </c>
      <c r="E41" t="s">
        <v>27</v>
      </c>
      <c r="F41" t="s">
        <v>28</v>
      </c>
      <c r="G41">
        <v>12</v>
      </c>
      <c r="H41">
        <v>1200</v>
      </c>
      <c r="I41">
        <f t="shared" si="0"/>
        <v>13680</v>
      </c>
      <c r="J41" s="2">
        <v>0.05</v>
      </c>
      <c r="K41">
        <f t="shared" si="1"/>
        <v>3420</v>
      </c>
    </row>
    <row r="42" spans="1:11">
      <c r="A42" t="s">
        <v>72</v>
      </c>
      <c r="B42" s="1">
        <v>46105</v>
      </c>
      <c r="C42" t="s">
        <v>12</v>
      </c>
      <c r="D42" t="s">
        <v>13</v>
      </c>
      <c r="E42" t="s">
        <v>14</v>
      </c>
      <c r="F42" t="s">
        <v>15</v>
      </c>
      <c r="G42">
        <v>1</v>
      </c>
      <c r="H42">
        <v>55000</v>
      </c>
      <c r="I42">
        <f t="shared" si="0"/>
        <v>52250</v>
      </c>
      <c r="J42" s="2">
        <v>0.05</v>
      </c>
      <c r="K42">
        <f t="shared" si="1"/>
        <v>7837.5</v>
      </c>
    </row>
    <row r="43" spans="1:11">
      <c r="A43" t="s">
        <v>73</v>
      </c>
      <c r="B43" s="1">
        <v>46107</v>
      </c>
      <c r="C43" t="s">
        <v>17</v>
      </c>
      <c r="D43" t="s">
        <v>18</v>
      </c>
      <c r="E43" t="s">
        <v>19</v>
      </c>
      <c r="F43" t="s">
        <v>20</v>
      </c>
      <c r="G43">
        <v>6</v>
      </c>
      <c r="H43">
        <v>8500</v>
      </c>
      <c r="I43">
        <f t="shared" si="0"/>
        <v>45900</v>
      </c>
      <c r="J43" s="2">
        <v>0.1</v>
      </c>
      <c r="K43">
        <f t="shared" si="1"/>
        <v>9180</v>
      </c>
    </row>
    <row r="44" spans="1:11">
      <c r="A44" t="s">
        <v>74</v>
      </c>
      <c r="B44" s="1">
        <v>46109</v>
      </c>
      <c r="C44" t="s">
        <v>22</v>
      </c>
      <c r="D44" t="s">
        <v>13</v>
      </c>
      <c r="E44" t="s">
        <v>23</v>
      </c>
      <c r="F44" t="s">
        <v>24</v>
      </c>
      <c r="G44">
        <v>3</v>
      </c>
      <c r="H44">
        <v>32000</v>
      </c>
      <c r="I44">
        <f t="shared" si="0"/>
        <v>91200</v>
      </c>
      <c r="J44" s="2">
        <v>0.05</v>
      </c>
      <c r="K44">
        <f t="shared" si="1"/>
        <v>13680</v>
      </c>
    </row>
    <row r="45" spans="1:11">
      <c r="A45" t="s">
        <v>75</v>
      </c>
      <c r="B45" s="1">
        <v>46114</v>
      </c>
      <c r="C45" t="s">
        <v>26</v>
      </c>
      <c r="D45" t="s">
        <v>18</v>
      </c>
      <c r="E45" t="s">
        <v>27</v>
      </c>
      <c r="F45" t="s">
        <v>28</v>
      </c>
      <c r="G45">
        <v>4</v>
      </c>
      <c r="H45">
        <v>12000</v>
      </c>
      <c r="I45">
        <f t="shared" si="0"/>
        <v>44160</v>
      </c>
      <c r="J45" s="2">
        <v>0.08</v>
      </c>
      <c r="K45">
        <f t="shared" si="1"/>
        <v>8832</v>
      </c>
    </row>
    <row r="46" spans="1:11">
      <c r="A46" t="s">
        <v>76</v>
      </c>
      <c r="B46" s="1">
        <v>46116</v>
      </c>
      <c r="C46" t="s">
        <v>30</v>
      </c>
      <c r="D46" t="s">
        <v>31</v>
      </c>
      <c r="E46" t="s">
        <v>14</v>
      </c>
      <c r="F46" t="s">
        <v>15</v>
      </c>
      <c r="G46">
        <v>9</v>
      </c>
      <c r="H46">
        <v>2500</v>
      </c>
      <c r="I46">
        <f t="shared" si="0"/>
        <v>21375</v>
      </c>
      <c r="J46" s="2">
        <v>0.05</v>
      </c>
      <c r="K46">
        <f t="shared" si="1"/>
        <v>5343.75</v>
      </c>
    </row>
    <row r="47" spans="1:11">
      <c r="A47" t="s">
        <v>77</v>
      </c>
      <c r="B47" s="1">
        <v>46118</v>
      </c>
      <c r="C47" t="s">
        <v>33</v>
      </c>
      <c r="D47" t="s">
        <v>13</v>
      </c>
      <c r="E47" t="s">
        <v>19</v>
      </c>
      <c r="F47" t="s">
        <v>20</v>
      </c>
      <c r="G47">
        <v>3</v>
      </c>
      <c r="H47">
        <v>18000</v>
      </c>
      <c r="I47">
        <f t="shared" si="0"/>
        <v>50220</v>
      </c>
      <c r="J47" s="2">
        <v>7.0000000000000007E-2</v>
      </c>
      <c r="K47">
        <f t="shared" si="1"/>
        <v>7533</v>
      </c>
    </row>
    <row r="48" spans="1:11">
      <c r="A48" t="s">
        <v>78</v>
      </c>
      <c r="B48" s="1">
        <v>46120</v>
      </c>
      <c r="C48" t="s">
        <v>35</v>
      </c>
      <c r="D48" t="s">
        <v>31</v>
      </c>
      <c r="E48" t="s">
        <v>23</v>
      </c>
      <c r="F48" t="s">
        <v>24</v>
      </c>
      <c r="G48">
        <v>14</v>
      </c>
      <c r="H48">
        <v>1800</v>
      </c>
      <c r="I48">
        <f t="shared" si="0"/>
        <v>23940</v>
      </c>
      <c r="J48" s="2">
        <v>0.05</v>
      </c>
      <c r="K48">
        <f t="shared" si="1"/>
        <v>5985</v>
      </c>
    </row>
    <row r="49" spans="1:11">
      <c r="A49" t="s">
        <v>79</v>
      </c>
      <c r="B49" s="1">
        <v>46122</v>
      </c>
      <c r="C49" t="s">
        <v>37</v>
      </c>
      <c r="D49" t="s">
        <v>13</v>
      </c>
      <c r="E49" t="s">
        <v>27</v>
      </c>
      <c r="F49" t="s">
        <v>28</v>
      </c>
      <c r="G49">
        <v>3</v>
      </c>
      <c r="H49">
        <v>14500</v>
      </c>
      <c r="I49">
        <f t="shared" si="0"/>
        <v>39150</v>
      </c>
      <c r="J49" s="2">
        <v>0.1</v>
      </c>
      <c r="K49">
        <f t="shared" si="1"/>
        <v>5872.5</v>
      </c>
    </row>
    <row r="50" spans="1:11">
      <c r="A50" t="s">
        <v>80</v>
      </c>
      <c r="B50" s="1">
        <v>46124</v>
      </c>
      <c r="C50" t="s">
        <v>39</v>
      </c>
      <c r="D50" t="s">
        <v>18</v>
      </c>
      <c r="E50" t="s">
        <v>14</v>
      </c>
      <c r="F50" t="s">
        <v>15</v>
      </c>
      <c r="G50">
        <v>3</v>
      </c>
      <c r="H50">
        <v>7500</v>
      </c>
      <c r="I50">
        <f t="shared" si="0"/>
        <v>21375</v>
      </c>
      <c r="J50" s="2">
        <v>0.05</v>
      </c>
      <c r="K50">
        <f t="shared" si="1"/>
        <v>4275</v>
      </c>
    </row>
    <row r="51" spans="1:11">
      <c r="A51" t="s">
        <v>81</v>
      </c>
      <c r="B51" s="1">
        <v>46126</v>
      </c>
      <c r="C51" t="s">
        <v>41</v>
      </c>
      <c r="D51" t="s">
        <v>31</v>
      </c>
      <c r="E51" t="s">
        <v>19</v>
      </c>
      <c r="F51" t="s">
        <v>20</v>
      </c>
      <c r="G51">
        <v>11</v>
      </c>
      <c r="H51">
        <v>1200</v>
      </c>
      <c r="I51">
        <f t="shared" si="0"/>
        <v>12540</v>
      </c>
      <c r="J51" s="2">
        <v>0.05</v>
      </c>
      <c r="K51">
        <f t="shared" si="1"/>
        <v>3135</v>
      </c>
    </row>
    <row r="52" spans="1:11">
      <c r="A52" t="s">
        <v>82</v>
      </c>
      <c r="B52" s="1">
        <v>46128</v>
      </c>
      <c r="C52" t="s">
        <v>12</v>
      </c>
      <c r="D52" t="s">
        <v>13</v>
      </c>
      <c r="E52" t="s">
        <v>23</v>
      </c>
      <c r="F52" t="s">
        <v>24</v>
      </c>
      <c r="G52">
        <v>2</v>
      </c>
      <c r="H52">
        <v>55000</v>
      </c>
      <c r="I52">
        <f t="shared" si="0"/>
        <v>101200</v>
      </c>
      <c r="J52" s="2">
        <v>0.08</v>
      </c>
      <c r="K52">
        <f t="shared" si="1"/>
        <v>15180</v>
      </c>
    </row>
    <row r="53" spans="1:11">
      <c r="A53" t="s">
        <v>83</v>
      </c>
      <c r="B53" s="1">
        <v>46130</v>
      </c>
      <c r="C53" t="s">
        <v>17</v>
      </c>
      <c r="D53" t="s">
        <v>18</v>
      </c>
      <c r="E53" t="s">
        <v>27</v>
      </c>
      <c r="F53" t="s">
        <v>28</v>
      </c>
      <c r="G53">
        <v>5</v>
      </c>
      <c r="H53">
        <v>8500</v>
      </c>
      <c r="I53">
        <f t="shared" si="0"/>
        <v>38250</v>
      </c>
      <c r="J53" s="2">
        <v>0.1</v>
      </c>
      <c r="K53">
        <f t="shared" si="1"/>
        <v>7650</v>
      </c>
    </row>
    <row r="54" spans="1:11">
      <c r="A54" t="s">
        <v>84</v>
      </c>
      <c r="B54" s="1">
        <v>46132</v>
      </c>
      <c r="C54" t="s">
        <v>22</v>
      </c>
      <c r="D54" t="s">
        <v>13</v>
      </c>
      <c r="E54" t="s">
        <v>14</v>
      </c>
      <c r="F54" t="s">
        <v>15</v>
      </c>
      <c r="G54">
        <v>3</v>
      </c>
      <c r="H54">
        <v>32000</v>
      </c>
      <c r="I54">
        <f t="shared" si="0"/>
        <v>91200</v>
      </c>
      <c r="J54" s="2">
        <v>0.05</v>
      </c>
      <c r="K54">
        <f t="shared" si="1"/>
        <v>13680</v>
      </c>
    </row>
    <row r="55" spans="1:11">
      <c r="A55" t="s">
        <v>85</v>
      </c>
      <c r="B55" s="1">
        <v>46134</v>
      </c>
      <c r="C55" t="s">
        <v>26</v>
      </c>
      <c r="D55" t="s">
        <v>18</v>
      </c>
      <c r="E55" t="s">
        <v>19</v>
      </c>
      <c r="F55" t="s">
        <v>20</v>
      </c>
      <c r="G55">
        <v>2</v>
      </c>
      <c r="H55">
        <v>12000</v>
      </c>
      <c r="I55">
        <f t="shared" si="0"/>
        <v>22320</v>
      </c>
      <c r="J55" s="2">
        <v>7.0000000000000007E-2</v>
      </c>
      <c r="K55">
        <f t="shared" si="1"/>
        <v>4464</v>
      </c>
    </row>
    <row r="56" spans="1:11">
      <c r="A56" t="s">
        <v>86</v>
      </c>
      <c r="B56" s="1">
        <v>46136</v>
      </c>
      <c r="C56" t="s">
        <v>30</v>
      </c>
      <c r="D56" t="s">
        <v>31</v>
      </c>
      <c r="E56" t="s">
        <v>23</v>
      </c>
      <c r="F56" t="s">
        <v>24</v>
      </c>
      <c r="G56">
        <v>8</v>
      </c>
      <c r="H56">
        <v>2500</v>
      </c>
      <c r="I56">
        <f t="shared" si="0"/>
        <v>19000</v>
      </c>
      <c r="J56" s="2">
        <v>0.05</v>
      </c>
      <c r="K56">
        <f t="shared" si="1"/>
        <v>4750</v>
      </c>
    </row>
    <row r="57" spans="1:11">
      <c r="A57" t="s">
        <v>87</v>
      </c>
      <c r="B57" s="1">
        <v>46138</v>
      </c>
      <c r="C57" t="s">
        <v>33</v>
      </c>
      <c r="D57" t="s">
        <v>13</v>
      </c>
      <c r="E57" t="s">
        <v>27</v>
      </c>
      <c r="F57" t="s">
        <v>28</v>
      </c>
      <c r="G57">
        <v>4</v>
      </c>
      <c r="H57">
        <v>18000</v>
      </c>
      <c r="I57">
        <f t="shared" si="0"/>
        <v>66240</v>
      </c>
      <c r="J57" s="2">
        <v>0.08</v>
      </c>
      <c r="K57">
        <f t="shared" si="1"/>
        <v>9936</v>
      </c>
    </row>
    <row r="58" spans="1:11">
      <c r="A58" t="s">
        <v>88</v>
      </c>
      <c r="B58" s="1">
        <v>46140</v>
      </c>
      <c r="C58" t="s">
        <v>35</v>
      </c>
      <c r="D58" t="s">
        <v>31</v>
      </c>
      <c r="E58" t="s">
        <v>14</v>
      </c>
      <c r="F58" t="s">
        <v>15</v>
      </c>
      <c r="G58">
        <v>16</v>
      </c>
      <c r="H58">
        <v>1800</v>
      </c>
      <c r="I58">
        <f t="shared" si="0"/>
        <v>27360</v>
      </c>
      <c r="J58" s="2">
        <v>0.05</v>
      </c>
      <c r="K58">
        <f t="shared" si="1"/>
        <v>6840</v>
      </c>
    </row>
    <row r="59" spans="1:11">
      <c r="A59" t="s">
        <v>89</v>
      </c>
      <c r="B59" s="1">
        <v>46144</v>
      </c>
      <c r="C59" t="s">
        <v>37</v>
      </c>
      <c r="D59" t="s">
        <v>13</v>
      </c>
      <c r="E59" t="s">
        <v>19</v>
      </c>
      <c r="F59" t="s">
        <v>20</v>
      </c>
      <c r="G59">
        <v>2</v>
      </c>
      <c r="H59">
        <v>14500</v>
      </c>
      <c r="I59">
        <f t="shared" si="0"/>
        <v>26100</v>
      </c>
      <c r="J59" s="2">
        <v>0.1</v>
      </c>
      <c r="K59">
        <f t="shared" si="1"/>
        <v>3915</v>
      </c>
    </row>
    <row r="60" spans="1:11">
      <c r="A60" t="s">
        <v>90</v>
      </c>
      <c r="B60" s="1">
        <v>46146</v>
      </c>
      <c r="C60" t="s">
        <v>39</v>
      </c>
      <c r="D60" t="s">
        <v>18</v>
      </c>
      <c r="E60" t="s">
        <v>23</v>
      </c>
      <c r="F60" t="s">
        <v>24</v>
      </c>
      <c r="G60">
        <v>3</v>
      </c>
      <c r="H60">
        <v>7500</v>
      </c>
      <c r="I60">
        <f t="shared" si="0"/>
        <v>21375</v>
      </c>
      <c r="J60" s="2">
        <v>0.05</v>
      </c>
      <c r="K60">
        <f t="shared" si="1"/>
        <v>4275</v>
      </c>
    </row>
    <row r="61" spans="1:11">
      <c r="A61" t="s">
        <v>91</v>
      </c>
      <c r="B61" s="1">
        <v>46148</v>
      </c>
      <c r="C61" t="s">
        <v>41</v>
      </c>
      <c r="D61" t="s">
        <v>31</v>
      </c>
      <c r="E61" t="s">
        <v>27</v>
      </c>
      <c r="F61" t="s">
        <v>28</v>
      </c>
      <c r="G61">
        <v>14</v>
      </c>
      <c r="H61">
        <v>1200</v>
      </c>
      <c r="I61">
        <f t="shared" si="0"/>
        <v>15960</v>
      </c>
      <c r="J61" s="2">
        <v>0.05</v>
      </c>
      <c r="K61">
        <f t="shared" si="1"/>
        <v>3990</v>
      </c>
    </row>
    <row r="62" spans="1:11">
      <c r="A62" t="s">
        <v>92</v>
      </c>
      <c r="B62" s="1">
        <v>46150</v>
      </c>
      <c r="C62" t="s">
        <v>12</v>
      </c>
      <c r="D62" t="s">
        <v>13</v>
      </c>
      <c r="E62" t="s">
        <v>14</v>
      </c>
      <c r="F62" t="s">
        <v>15</v>
      </c>
      <c r="G62">
        <v>2</v>
      </c>
      <c r="H62">
        <v>55000</v>
      </c>
      <c r="I62">
        <f t="shared" si="0"/>
        <v>102300</v>
      </c>
      <c r="J62" s="2">
        <v>7.0000000000000007E-2</v>
      </c>
      <c r="K62">
        <f t="shared" si="1"/>
        <v>15345</v>
      </c>
    </row>
    <row r="63" spans="1:11">
      <c r="A63" t="s">
        <v>93</v>
      </c>
      <c r="B63" s="1">
        <v>46152</v>
      </c>
      <c r="C63" t="s">
        <v>17</v>
      </c>
      <c r="D63" t="s">
        <v>18</v>
      </c>
      <c r="E63" t="s">
        <v>19</v>
      </c>
      <c r="F63" t="s">
        <v>20</v>
      </c>
      <c r="G63">
        <v>4</v>
      </c>
      <c r="H63">
        <v>8500</v>
      </c>
      <c r="I63">
        <f t="shared" si="0"/>
        <v>31280</v>
      </c>
      <c r="J63" s="2">
        <v>0.08</v>
      </c>
      <c r="K63">
        <f t="shared" si="1"/>
        <v>6256</v>
      </c>
    </row>
    <row r="64" spans="1:11">
      <c r="A64" t="s">
        <v>94</v>
      </c>
      <c r="B64" s="1">
        <v>46154</v>
      </c>
      <c r="C64" t="s">
        <v>22</v>
      </c>
      <c r="D64" t="s">
        <v>13</v>
      </c>
      <c r="E64" t="s">
        <v>23</v>
      </c>
      <c r="F64" t="s">
        <v>24</v>
      </c>
      <c r="G64">
        <v>2</v>
      </c>
      <c r="H64">
        <v>32000</v>
      </c>
      <c r="I64">
        <f t="shared" si="0"/>
        <v>60800</v>
      </c>
      <c r="J64" s="2">
        <v>0.05</v>
      </c>
      <c r="K64">
        <f t="shared" si="1"/>
        <v>9120</v>
      </c>
    </row>
    <row r="65" spans="1:11">
      <c r="A65" t="s">
        <v>95</v>
      </c>
      <c r="B65" s="1">
        <v>46156</v>
      </c>
      <c r="C65" t="s">
        <v>26</v>
      </c>
      <c r="D65" t="s">
        <v>18</v>
      </c>
      <c r="E65" t="s">
        <v>27</v>
      </c>
      <c r="F65" t="s">
        <v>28</v>
      </c>
      <c r="G65">
        <v>3</v>
      </c>
      <c r="H65">
        <v>12000</v>
      </c>
      <c r="I65">
        <f t="shared" si="0"/>
        <v>32400</v>
      </c>
      <c r="J65" s="2">
        <v>0.1</v>
      </c>
      <c r="K65">
        <f t="shared" si="1"/>
        <v>6480</v>
      </c>
    </row>
    <row r="66" spans="1:11">
      <c r="A66" t="s">
        <v>96</v>
      </c>
      <c r="B66" s="1">
        <v>46158</v>
      </c>
      <c r="C66" t="s">
        <v>30</v>
      </c>
      <c r="D66" t="s">
        <v>31</v>
      </c>
      <c r="E66" t="s">
        <v>14</v>
      </c>
      <c r="F66" t="s">
        <v>15</v>
      </c>
      <c r="G66">
        <v>11</v>
      </c>
      <c r="H66">
        <v>2500</v>
      </c>
      <c r="I66">
        <f t="shared" si="0"/>
        <v>26125</v>
      </c>
      <c r="J66" s="2">
        <v>0.05</v>
      </c>
      <c r="K66">
        <f t="shared" si="1"/>
        <v>6531.25</v>
      </c>
    </row>
    <row r="67" spans="1:11">
      <c r="A67" t="s">
        <v>97</v>
      </c>
      <c r="B67" s="1">
        <v>46160</v>
      </c>
      <c r="C67" t="s">
        <v>33</v>
      </c>
      <c r="D67" t="s">
        <v>13</v>
      </c>
      <c r="E67" t="s">
        <v>19</v>
      </c>
      <c r="F67" t="s">
        <v>20</v>
      </c>
      <c r="G67">
        <v>2</v>
      </c>
      <c r="H67">
        <v>18000</v>
      </c>
      <c r="I67">
        <f t="shared" ref="I67:I101" si="2">H67*G67*(1-J67)</f>
        <v>33480</v>
      </c>
      <c r="J67" s="2">
        <v>7.0000000000000007E-2</v>
      </c>
      <c r="K67">
        <f t="shared" ref="K67:K101" si="3">I67*IF(D67="Technology",15%,IF(D67="Furniture",20%,25%))</f>
        <v>5022</v>
      </c>
    </row>
    <row r="68" spans="1:11">
      <c r="A68" t="s">
        <v>98</v>
      </c>
      <c r="B68" s="1">
        <v>46162</v>
      </c>
      <c r="C68" t="s">
        <v>35</v>
      </c>
      <c r="D68" t="s">
        <v>31</v>
      </c>
      <c r="E68" t="s">
        <v>23</v>
      </c>
      <c r="F68" t="s">
        <v>24</v>
      </c>
      <c r="G68">
        <v>13</v>
      </c>
      <c r="H68">
        <v>1800</v>
      </c>
      <c r="I68">
        <f t="shared" si="2"/>
        <v>22230</v>
      </c>
      <c r="J68" s="2">
        <v>0.05</v>
      </c>
      <c r="K68">
        <f t="shared" si="3"/>
        <v>5557.5</v>
      </c>
    </row>
    <row r="69" spans="1:11">
      <c r="A69" t="s">
        <v>99</v>
      </c>
      <c r="B69" s="1">
        <v>46164</v>
      </c>
      <c r="C69" t="s">
        <v>37</v>
      </c>
      <c r="D69" t="s">
        <v>13</v>
      </c>
      <c r="E69" t="s">
        <v>27</v>
      </c>
      <c r="F69" t="s">
        <v>28</v>
      </c>
      <c r="G69">
        <v>4</v>
      </c>
      <c r="H69">
        <v>14500</v>
      </c>
      <c r="I69">
        <f t="shared" si="2"/>
        <v>53360</v>
      </c>
      <c r="J69" s="2">
        <v>0.08</v>
      </c>
      <c r="K69">
        <f t="shared" si="3"/>
        <v>8004</v>
      </c>
    </row>
    <row r="70" spans="1:11">
      <c r="A70" t="s">
        <v>100</v>
      </c>
      <c r="B70" s="1">
        <v>46166</v>
      </c>
      <c r="C70" t="s">
        <v>39</v>
      </c>
      <c r="D70" t="s">
        <v>18</v>
      </c>
      <c r="E70" t="s">
        <v>14</v>
      </c>
      <c r="F70" t="s">
        <v>15</v>
      </c>
      <c r="G70">
        <v>4</v>
      </c>
      <c r="H70">
        <v>7500</v>
      </c>
      <c r="I70">
        <f t="shared" si="2"/>
        <v>28500</v>
      </c>
      <c r="J70" s="2">
        <v>0.05</v>
      </c>
      <c r="K70">
        <f t="shared" si="3"/>
        <v>5700</v>
      </c>
    </row>
    <row r="71" spans="1:11">
      <c r="A71" t="s">
        <v>101</v>
      </c>
      <c r="B71" s="1">
        <v>46168</v>
      </c>
      <c r="C71" t="s">
        <v>41</v>
      </c>
      <c r="D71" t="s">
        <v>31</v>
      </c>
      <c r="E71" t="s">
        <v>19</v>
      </c>
      <c r="F71" t="s">
        <v>20</v>
      </c>
      <c r="G71">
        <v>10</v>
      </c>
      <c r="H71">
        <v>1200</v>
      </c>
      <c r="I71">
        <f t="shared" si="2"/>
        <v>11400</v>
      </c>
      <c r="J71" s="2">
        <v>0.05</v>
      </c>
      <c r="K71">
        <f t="shared" si="3"/>
        <v>2850</v>
      </c>
    </row>
    <row r="72" spans="1:11">
      <c r="A72" t="s">
        <v>102</v>
      </c>
      <c r="B72" s="1">
        <v>46170</v>
      </c>
      <c r="C72" t="s">
        <v>12</v>
      </c>
      <c r="D72" t="s">
        <v>13</v>
      </c>
      <c r="E72" t="s">
        <v>23</v>
      </c>
      <c r="F72" t="s">
        <v>24</v>
      </c>
      <c r="G72">
        <v>1</v>
      </c>
      <c r="H72">
        <v>55000</v>
      </c>
      <c r="I72">
        <f t="shared" si="2"/>
        <v>49500</v>
      </c>
      <c r="J72" s="2">
        <v>0.1</v>
      </c>
      <c r="K72">
        <f t="shared" si="3"/>
        <v>7425</v>
      </c>
    </row>
    <row r="73" spans="1:11">
      <c r="A73" t="s">
        <v>103</v>
      </c>
      <c r="B73" s="1">
        <v>46175</v>
      </c>
      <c r="C73" t="s">
        <v>17</v>
      </c>
      <c r="D73" t="s">
        <v>18</v>
      </c>
      <c r="E73" t="s">
        <v>27</v>
      </c>
      <c r="F73" t="s">
        <v>28</v>
      </c>
      <c r="G73">
        <v>3</v>
      </c>
      <c r="H73">
        <v>8500</v>
      </c>
      <c r="I73">
        <f t="shared" si="2"/>
        <v>24225</v>
      </c>
      <c r="J73" s="2">
        <v>0.05</v>
      </c>
      <c r="K73">
        <f t="shared" si="3"/>
        <v>4845</v>
      </c>
    </row>
    <row r="74" spans="1:11">
      <c r="A74" t="s">
        <v>104</v>
      </c>
      <c r="B74" s="1">
        <v>46177</v>
      </c>
      <c r="C74" t="s">
        <v>22</v>
      </c>
      <c r="D74" t="s">
        <v>13</v>
      </c>
      <c r="E74" t="s">
        <v>14</v>
      </c>
      <c r="F74" t="s">
        <v>15</v>
      </c>
      <c r="G74">
        <v>4</v>
      </c>
      <c r="H74">
        <v>32000</v>
      </c>
      <c r="I74">
        <f t="shared" si="2"/>
        <v>117760</v>
      </c>
      <c r="J74" s="2">
        <v>0.08</v>
      </c>
      <c r="K74">
        <f t="shared" si="3"/>
        <v>17664</v>
      </c>
    </row>
    <row r="75" spans="1:11">
      <c r="A75" t="s">
        <v>105</v>
      </c>
      <c r="B75" s="1">
        <v>46179</v>
      </c>
      <c r="C75" t="s">
        <v>26</v>
      </c>
      <c r="D75" t="s">
        <v>18</v>
      </c>
      <c r="E75" t="s">
        <v>19</v>
      </c>
      <c r="F75" t="s">
        <v>20</v>
      </c>
      <c r="G75">
        <v>2</v>
      </c>
      <c r="H75">
        <v>12000</v>
      </c>
      <c r="I75">
        <f t="shared" si="2"/>
        <v>22320</v>
      </c>
      <c r="J75" s="2">
        <v>7.0000000000000007E-2</v>
      </c>
      <c r="K75">
        <f t="shared" si="3"/>
        <v>4464</v>
      </c>
    </row>
    <row r="76" spans="1:11">
      <c r="A76" t="s">
        <v>106</v>
      </c>
      <c r="B76" s="1">
        <v>46181</v>
      </c>
      <c r="C76" t="s">
        <v>30</v>
      </c>
      <c r="D76" t="s">
        <v>31</v>
      </c>
      <c r="E76" t="s">
        <v>23</v>
      </c>
      <c r="F76" t="s">
        <v>24</v>
      </c>
      <c r="G76">
        <v>6</v>
      </c>
      <c r="H76">
        <v>2500</v>
      </c>
      <c r="I76">
        <f t="shared" si="2"/>
        <v>14250</v>
      </c>
      <c r="J76" s="2">
        <v>0.05</v>
      </c>
      <c r="K76">
        <f t="shared" si="3"/>
        <v>3562.5</v>
      </c>
    </row>
    <row r="77" spans="1:11">
      <c r="A77" t="s">
        <v>107</v>
      </c>
      <c r="B77" s="1">
        <v>46183</v>
      </c>
      <c r="C77" t="s">
        <v>33</v>
      </c>
      <c r="D77" t="s">
        <v>13</v>
      </c>
      <c r="E77" t="s">
        <v>27</v>
      </c>
      <c r="F77" t="s">
        <v>28</v>
      </c>
      <c r="G77">
        <v>3</v>
      </c>
      <c r="H77">
        <v>18000</v>
      </c>
      <c r="I77">
        <f t="shared" si="2"/>
        <v>48600</v>
      </c>
      <c r="J77" s="2">
        <v>0.1</v>
      </c>
      <c r="K77">
        <f t="shared" si="3"/>
        <v>7290</v>
      </c>
    </row>
    <row r="78" spans="1:11">
      <c r="A78" t="s">
        <v>108</v>
      </c>
      <c r="B78" s="1">
        <v>46185</v>
      </c>
      <c r="C78" t="s">
        <v>35</v>
      </c>
      <c r="D78" t="s">
        <v>31</v>
      </c>
      <c r="E78" t="s">
        <v>14</v>
      </c>
      <c r="F78" t="s">
        <v>15</v>
      </c>
      <c r="G78">
        <v>15</v>
      </c>
      <c r="H78">
        <v>1800</v>
      </c>
      <c r="I78">
        <f t="shared" si="2"/>
        <v>25650</v>
      </c>
      <c r="J78" s="2">
        <v>0.05</v>
      </c>
      <c r="K78">
        <f t="shared" si="3"/>
        <v>6412.5</v>
      </c>
    </row>
    <row r="79" spans="1:11">
      <c r="A79" t="s">
        <v>109</v>
      </c>
      <c r="B79" s="1">
        <v>46187</v>
      </c>
      <c r="C79" t="s">
        <v>37</v>
      </c>
      <c r="D79" t="s">
        <v>13</v>
      </c>
      <c r="E79" t="s">
        <v>19</v>
      </c>
      <c r="F79" t="s">
        <v>20</v>
      </c>
      <c r="G79">
        <v>3</v>
      </c>
      <c r="H79">
        <v>14500</v>
      </c>
      <c r="I79">
        <f t="shared" si="2"/>
        <v>40455</v>
      </c>
      <c r="J79" s="2">
        <v>7.0000000000000007E-2</v>
      </c>
      <c r="K79">
        <f t="shared" si="3"/>
        <v>6068.25</v>
      </c>
    </row>
    <row r="80" spans="1:11">
      <c r="A80" t="s">
        <v>110</v>
      </c>
      <c r="B80" s="1">
        <v>46189</v>
      </c>
      <c r="C80" t="s">
        <v>39</v>
      </c>
      <c r="D80" t="s">
        <v>18</v>
      </c>
      <c r="E80" t="s">
        <v>23</v>
      </c>
      <c r="F80" t="s">
        <v>24</v>
      </c>
      <c r="G80">
        <v>2</v>
      </c>
      <c r="H80">
        <v>7500</v>
      </c>
      <c r="I80">
        <f t="shared" si="2"/>
        <v>14250</v>
      </c>
      <c r="J80" s="2">
        <v>0.05</v>
      </c>
      <c r="K80">
        <f t="shared" si="3"/>
        <v>2850</v>
      </c>
    </row>
    <row r="81" spans="1:11">
      <c r="A81" t="s">
        <v>111</v>
      </c>
      <c r="B81" s="1">
        <v>46191</v>
      </c>
      <c r="C81" t="s">
        <v>41</v>
      </c>
      <c r="D81" t="s">
        <v>31</v>
      </c>
      <c r="E81" t="s">
        <v>27</v>
      </c>
      <c r="F81" t="s">
        <v>28</v>
      </c>
      <c r="G81">
        <v>13</v>
      </c>
      <c r="H81">
        <v>1200</v>
      </c>
      <c r="I81">
        <f t="shared" si="2"/>
        <v>14820</v>
      </c>
      <c r="J81" s="2">
        <v>0.05</v>
      </c>
      <c r="K81">
        <f t="shared" si="3"/>
        <v>3705</v>
      </c>
    </row>
    <row r="82" spans="1:11">
      <c r="A82" t="s">
        <v>112</v>
      </c>
      <c r="B82" s="1">
        <v>46193</v>
      </c>
      <c r="C82" t="s">
        <v>12</v>
      </c>
      <c r="D82" t="s">
        <v>13</v>
      </c>
      <c r="E82" t="s">
        <v>14</v>
      </c>
      <c r="F82" t="s">
        <v>15</v>
      </c>
      <c r="G82">
        <v>2</v>
      </c>
      <c r="H82">
        <v>55000</v>
      </c>
      <c r="I82">
        <f t="shared" si="2"/>
        <v>101200</v>
      </c>
      <c r="J82" s="2">
        <v>0.08</v>
      </c>
      <c r="K82">
        <f t="shared" si="3"/>
        <v>15180</v>
      </c>
    </row>
    <row r="83" spans="1:11">
      <c r="A83" t="s">
        <v>113</v>
      </c>
      <c r="B83" s="1">
        <v>46195</v>
      </c>
      <c r="C83" t="s">
        <v>17</v>
      </c>
      <c r="D83" t="s">
        <v>18</v>
      </c>
      <c r="E83" t="s">
        <v>19</v>
      </c>
      <c r="F83" t="s">
        <v>20</v>
      </c>
      <c r="G83">
        <v>5</v>
      </c>
      <c r="H83">
        <v>8500</v>
      </c>
      <c r="I83">
        <f t="shared" si="2"/>
        <v>38250</v>
      </c>
      <c r="J83" s="2">
        <v>0.1</v>
      </c>
      <c r="K83">
        <f t="shared" si="3"/>
        <v>7650</v>
      </c>
    </row>
    <row r="84" spans="1:11">
      <c r="A84" t="s">
        <v>114</v>
      </c>
      <c r="B84" s="1">
        <v>46197</v>
      </c>
      <c r="C84" t="s">
        <v>22</v>
      </c>
      <c r="D84" t="s">
        <v>13</v>
      </c>
      <c r="E84" t="s">
        <v>23</v>
      </c>
      <c r="F84" t="s">
        <v>24</v>
      </c>
      <c r="G84">
        <v>3</v>
      </c>
      <c r="H84">
        <v>32000</v>
      </c>
      <c r="I84">
        <f t="shared" si="2"/>
        <v>91200</v>
      </c>
      <c r="J84" s="2">
        <v>0.05</v>
      </c>
      <c r="K84">
        <f t="shared" si="3"/>
        <v>13680</v>
      </c>
    </row>
    <row r="85" spans="1:11">
      <c r="A85" t="s">
        <v>115</v>
      </c>
      <c r="B85" s="1">
        <v>46199</v>
      </c>
      <c r="C85" t="s">
        <v>26</v>
      </c>
      <c r="D85" t="s">
        <v>18</v>
      </c>
      <c r="E85" t="s">
        <v>27</v>
      </c>
      <c r="F85" t="s">
        <v>28</v>
      </c>
      <c r="G85">
        <v>2</v>
      </c>
      <c r="H85">
        <v>12000</v>
      </c>
      <c r="I85">
        <f t="shared" si="2"/>
        <v>22080</v>
      </c>
      <c r="J85" s="2">
        <v>0.08</v>
      </c>
      <c r="K85">
        <f t="shared" si="3"/>
        <v>4416</v>
      </c>
    </row>
    <row r="86" spans="1:11">
      <c r="A86" t="s">
        <v>116</v>
      </c>
      <c r="B86" s="1">
        <v>46201</v>
      </c>
      <c r="C86" t="s">
        <v>30</v>
      </c>
      <c r="D86" t="s">
        <v>31</v>
      </c>
      <c r="E86" t="s">
        <v>14</v>
      </c>
      <c r="F86" t="s">
        <v>15</v>
      </c>
      <c r="G86">
        <v>10</v>
      </c>
      <c r="H86">
        <v>2500</v>
      </c>
      <c r="I86">
        <f t="shared" si="2"/>
        <v>23750</v>
      </c>
      <c r="J86" s="2">
        <v>0.05</v>
      </c>
      <c r="K86">
        <f t="shared" si="3"/>
        <v>5937.5</v>
      </c>
    </row>
    <row r="87" spans="1:11">
      <c r="A87" t="s">
        <v>117</v>
      </c>
      <c r="B87" s="1">
        <v>46205</v>
      </c>
      <c r="C87" t="s">
        <v>33</v>
      </c>
      <c r="D87" t="s">
        <v>13</v>
      </c>
      <c r="E87" t="s">
        <v>19</v>
      </c>
      <c r="F87" t="s">
        <v>20</v>
      </c>
      <c r="G87">
        <v>4</v>
      </c>
      <c r="H87">
        <v>18000</v>
      </c>
      <c r="I87">
        <f t="shared" si="2"/>
        <v>66960</v>
      </c>
      <c r="J87" s="2">
        <v>7.0000000000000007E-2</v>
      </c>
      <c r="K87">
        <f t="shared" si="3"/>
        <v>10044</v>
      </c>
    </row>
    <row r="88" spans="1:11">
      <c r="A88" t="s">
        <v>118</v>
      </c>
      <c r="B88" s="1">
        <v>46207</v>
      </c>
      <c r="C88" t="s">
        <v>35</v>
      </c>
      <c r="D88" t="s">
        <v>31</v>
      </c>
      <c r="E88" t="s">
        <v>23</v>
      </c>
      <c r="F88" t="s">
        <v>24</v>
      </c>
      <c r="G88">
        <v>12</v>
      </c>
      <c r="H88">
        <v>1800</v>
      </c>
      <c r="I88">
        <f t="shared" si="2"/>
        <v>20520</v>
      </c>
      <c r="J88" s="2">
        <v>0.05</v>
      </c>
      <c r="K88">
        <f t="shared" si="3"/>
        <v>5130</v>
      </c>
    </row>
    <row r="89" spans="1:11">
      <c r="A89" t="s">
        <v>119</v>
      </c>
      <c r="B89" s="1">
        <v>46209</v>
      </c>
      <c r="C89" t="s">
        <v>37</v>
      </c>
      <c r="D89" t="s">
        <v>13</v>
      </c>
      <c r="E89" t="s">
        <v>27</v>
      </c>
      <c r="F89" t="s">
        <v>28</v>
      </c>
      <c r="G89">
        <v>2</v>
      </c>
      <c r="H89">
        <v>14500</v>
      </c>
      <c r="I89">
        <f t="shared" si="2"/>
        <v>26100</v>
      </c>
      <c r="J89" s="2">
        <v>0.1</v>
      </c>
      <c r="K89">
        <f t="shared" si="3"/>
        <v>3915</v>
      </c>
    </row>
    <row r="90" spans="1:11">
      <c r="A90" t="s">
        <v>120</v>
      </c>
      <c r="B90" s="1">
        <v>46211</v>
      </c>
      <c r="C90" t="s">
        <v>39</v>
      </c>
      <c r="D90" t="s">
        <v>18</v>
      </c>
      <c r="E90" t="s">
        <v>14</v>
      </c>
      <c r="F90" t="s">
        <v>15</v>
      </c>
      <c r="G90">
        <v>3</v>
      </c>
      <c r="H90">
        <v>7500</v>
      </c>
      <c r="I90">
        <f t="shared" si="2"/>
        <v>21375</v>
      </c>
      <c r="J90" s="2">
        <v>0.05</v>
      </c>
      <c r="K90">
        <f t="shared" si="3"/>
        <v>4275</v>
      </c>
    </row>
    <row r="91" spans="1:11">
      <c r="A91" t="s">
        <v>121</v>
      </c>
      <c r="B91" s="1">
        <v>46213</v>
      </c>
      <c r="C91" t="s">
        <v>41</v>
      </c>
      <c r="D91" t="s">
        <v>31</v>
      </c>
      <c r="E91" t="s">
        <v>19</v>
      </c>
      <c r="F91" t="s">
        <v>20</v>
      </c>
      <c r="G91">
        <v>15</v>
      </c>
      <c r="H91">
        <v>1200</v>
      </c>
      <c r="I91">
        <f t="shared" si="2"/>
        <v>17100</v>
      </c>
      <c r="J91" s="2">
        <v>0.05</v>
      </c>
      <c r="K91">
        <f t="shared" si="3"/>
        <v>4275</v>
      </c>
    </row>
    <row r="92" spans="1:11">
      <c r="A92" t="s">
        <v>122</v>
      </c>
      <c r="B92" s="1">
        <v>46215</v>
      </c>
      <c r="C92" t="s">
        <v>12</v>
      </c>
      <c r="D92" t="s">
        <v>13</v>
      </c>
      <c r="E92" t="s">
        <v>23</v>
      </c>
      <c r="F92" t="s">
        <v>24</v>
      </c>
      <c r="G92">
        <v>2</v>
      </c>
      <c r="H92">
        <v>55000</v>
      </c>
      <c r="I92">
        <f t="shared" si="2"/>
        <v>101200</v>
      </c>
      <c r="J92" s="2">
        <v>0.08</v>
      </c>
      <c r="K92">
        <f t="shared" si="3"/>
        <v>15180</v>
      </c>
    </row>
    <row r="93" spans="1:11">
      <c r="A93" t="s">
        <v>123</v>
      </c>
      <c r="B93" s="1">
        <v>46217</v>
      </c>
      <c r="C93" t="s">
        <v>17</v>
      </c>
      <c r="D93" t="s">
        <v>18</v>
      </c>
      <c r="E93" t="s">
        <v>27</v>
      </c>
      <c r="F93" t="s">
        <v>28</v>
      </c>
      <c r="G93">
        <v>4</v>
      </c>
      <c r="H93">
        <v>8500</v>
      </c>
      <c r="I93">
        <f t="shared" si="2"/>
        <v>30600</v>
      </c>
      <c r="J93" s="2">
        <v>0.1</v>
      </c>
      <c r="K93">
        <f t="shared" si="3"/>
        <v>6120</v>
      </c>
    </row>
    <row r="94" spans="1:11">
      <c r="A94" t="s">
        <v>124</v>
      </c>
      <c r="B94" s="1">
        <v>46219</v>
      </c>
      <c r="C94" t="s">
        <v>22</v>
      </c>
      <c r="D94" t="s">
        <v>13</v>
      </c>
      <c r="E94" t="s">
        <v>14</v>
      </c>
      <c r="F94" t="s">
        <v>15</v>
      </c>
      <c r="G94">
        <v>2</v>
      </c>
      <c r="H94">
        <v>32000</v>
      </c>
      <c r="I94">
        <f t="shared" si="2"/>
        <v>60800</v>
      </c>
      <c r="J94" s="2">
        <v>0.05</v>
      </c>
      <c r="K94">
        <f t="shared" si="3"/>
        <v>9120</v>
      </c>
    </row>
    <row r="95" spans="1:11">
      <c r="A95" t="s">
        <v>125</v>
      </c>
      <c r="B95" s="1">
        <v>46221</v>
      </c>
      <c r="C95" t="s">
        <v>26</v>
      </c>
      <c r="D95" t="s">
        <v>18</v>
      </c>
      <c r="E95" t="s">
        <v>19</v>
      </c>
      <c r="F95" t="s">
        <v>20</v>
      </c>
      <c r="G95">
        <v>3</v>
      </c>
      <c r="H95">
        <v>12000</v>
      </c>
      <c r="I95">
        <f t="shared" si="2"/>
        <v>33480</v>
      </c>
      <c r="J95" s="2">
        <v>7.0000000000000007E-2</v>
      </c>
      <c r="K95">
        <f t="shared" si="3"/>
        <v>6696</v>
      </c>
    </row>
    <row r="96" spans="1:11">
      <c r="A96" t="s">
        <v>126</v>
      </c>
      <c r="B96" s="1">
        <v>46223</v>
      </c>
      <c r="C96" t="s">
        <v>30</v>
      </c>
      <c r="D96" t="s">
        <v>31</v>
      </c>
      <c r="E96" t="s">
        <v>23</v>
      </c>
      <c r="F96" t="s">
        <v>24</v>
      </c>
      <c r="G96">
        <v>9</v>
      </c>
      <c r="H96">
        <v>2500</v>
      </c>
      <c r="I96">
        <f t="shared" si="2"/>
        <v>21375</v>
      </c>
      <c r="J96" s="2">
        <v>0.05</v>
      </c>
      <c r="K96">
        <f t="shared" si="3"/>
        <v>5343.75</v>
      </c>
    </row>
    <row r="97" spans="1:11">
      <c r="A97" t="s">
        <v>127</v>
      </c>
      <c r="B97" s="1">
        <v>46225</v>
      </c>
      <c r="C97" t="s">
        <v>33</v>
      </c>
      <c r="D97" t="s">
        <v>13</v>
      </c>
      <c r="E97" t="s">
        <v>27</v>
      </c>
      <c r="F97" t="s">
        <v>28</v>
      </c>
      <c r="G97">
        <v>3</v>
      </c>
      <c r="H97">
        <v>18000</v>
      </c>
      <c r="I97">
        <f t="shared" si="2"/>
        <v>49680</v>
      </c>
      <c r="J97" s="2">
        <v>0.08</v>
      </c>
      <c r="K97">
        <f t="shared" si="3"/>
        <v>7452</v>
      </c>
    </row>
    <row r="98" spans="1:11">
      <c r="A98" t="s">
        <v>128</v>
      </c>
      <c r="B98" s="1">
        <v>46227</v>
      </c>
      <c r="C98" t="s">
        <v>35</v>
      </c>
      <c r="D98" t="s">
        <v>31</v>
      </c>
      <c r="E98" t="s">
        <v>14</v>
      </c>
      <c r="F98" t="s">
        <v>15</v>
      </c>
      <c r="G98">
        <v>17</v>
      </c>
      <c r="H98">
        <v>1800</v>
      </c>
      <c r="I98">
        <f t="shared" si="2"/>
        <v>29070</v>
      </c>
      <c r="J98" s="2">
        <v>0.05</v>
      </c>
      <c r="K98">
        <f t="shared" si="3"/>
        <v>7267.5</v>
      </c>
    </row>
    <row r="99" spans="1:11">
      <c r="A99" t="s">
        <v>129</v>
      </c>
      <c r="B99" s="1">
        <v>46229</v>
      </c>
      <c r="C99" t="s">
        <v>37</v>
      </c>
      <c r="D99" t="s">
        <v>13</v>
      </c>
      <c r="E99" t="s">
        <v>19</v>
      </c>
      <c r="F99" t="s">
        <v>20</v>
      </c>
      <c r="G99">
        <v>3</v>
      </c>
      <c r="H99">
        <v>14500</v>
      </c>
      <c r="I99">
        <f t="shared" si="2"/>
        <v>39150</v>
      </c>
      <c r="J99" s="2">
        <v>0.1</v>
      </c>
      <c r="K99">
        <f t="shared" si="3"/>
        <v>5872.5</v>
      </c>
    </row>
    <row r="100" spans="1:11">
      <c r="A100" t="s">
        <v>130</v>
      </c>
      <c r="B100" s="1">
        <v>46231</v>
      </c>
      <c r="C100" t="s">
        <v>39</v>
      </c>
      <c r="D100" t="s">
        <v>18</v>
      </c>
      <c r="E100" t="s">
        <v>23</v>
      </c>
      <c r="F100" t="s">
        <v>24</v>
      </c>
      <c r="G100">
        <v>4</v>
      </c>
      <c r="H100">
        <v>7500</v>
      </c>
      <c r="I100">
        <f t="shared" si="2"/>
        <v>28500</v>
      </c>
      <c r="J100" s="2">
        <v>0.05</v>
      </c>
      <c r="K100">
        <f t="shared" si="3"/>
        <v>5700</v>
      </c>
    </row>
    <row r="101" spans="1:11">
      <c r="A101" t="s">
        <v>131</v>
      </c>
      <c r="B101" s="1">
        <v>46233</v>
      </c>
      <c r="C101" t="s">
        <v>41</v>
      </c>
      <c r="D101" t="s">
        <v>31</v>
      </c>
      <c r="E101" t="s">
        <v>27</v>
      </c>
      <c r="F101" t="s">
        <v>28</v>
      </c>
      <c r="G101">
        <v>12</v>
      </c>
      <c r="H101">
        <v>1200</v>
      </c>
      <c r="I101">
        <f t="shared" si="2"/>
        <v>13680</v>
      </c>
      <c r="J101" s="2">
        <v>0.05</v>
      </c>
      <c r="K101">
        <f t="shared" si="3"/>
        <v>3420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3485-DD1F-472F-B71B-FC4B6BD9DD93}">
  <dimension ref="A1:X97"/>
  <sheetViews>
    <sheetView tabSelected="1" topLeftCell="A84" workbookViewId="0">
      <selection activeCell="G94" sqref="G94"/>
    </sheetView>
  </sheetViews>
  <sheetFormatPr defaultRowHeight="15"/>
  <cols>
    <col min="1" max="1" width="14.5703125" customWidth="1"/>
    <col min="2" max="2" width="13.7109375" bestFit="1" customWidth="1"/>
    <col min="3" max="3" width="10.85546875" bestFit="1" customWidth="1"/>
    <col min="4" max="4" width="13.85546875" bestFit="1" customWidth="1"/>
    <col min="5" max="5" width="20.140625" customWidth="1"/>
    <col min="7" max="7" width="11.5703125" bestFit="1" customWidth="1"/>
    <col min="8" max="8" width="8.7109375" bestFit="1" customWidth="1"/>
    <col min="10" max="10" width="15.28515625" bestFit="1" customWidth="1"/>
    <col min="12" max="12" width="17.42578125" bestFit="1" customWidth="1"/>
    <col min="13" max="13" width="11.140625" bestFit="1" customWidth="1"/>
    <col min="14" max="14" width="8.7109375" bestFit="1" customWidth="1"/>
    <col min="15" max="15" width="10.42578125" bestFit="1" customWidth="1"/>
    <col min="16" max="16" width="13.85546875" bestFit="1" customWidth="1"/>
    <col min="19" max="19" width="12.140625" bestFit="1" customWidth="1"/>
    <col min="21" max="21" width="9.28515625" bestFit="1" customWidth="1"/>
  </cols>
  <sheetData>
    <row r="1" spans="1:22" ht="26.25">
      <c r="A1" s="25" t="s">
        <v>132</v>
      </c>
      <c r="B1" s="25"/>
      <c r="C1" s="25"/>
      <c r="D1" s="25"/>
      <c r="E1" s="25"/>
      <c r="F1" s="25"/>
      <c r="G1" s="25"/>
      <c r="H1" s="25"/>
    </row>
    <row r="2" spans="1:22">
      <c r="J2" s="12" t="s">
        <v>133</v>
      </c>
      <c r="K2" s="4"/>
      <c r="L2" s="12" t="s">
        <v>134</v>
      </c>
    </row>
    <row r="3" spans="1:22" ht="18.75">
      <c r="A3" s="10" t="s">
        <v>135</v>
      </c>
      <c r="B3" s="10" t="s">
        <v>136</v>
      </c>
      <c r="C3" s="10" t="s">
        <v>137</v>
      </c>
      <c r="D3" s="10" t="s">
        <v>138</v>
      </c>
      <c r="E3" s="10" t="s">
        <v>139</v>
      </c>
      <c r="J3" s="14" t="str">
        <f>INDEX(S15:S24,MATCH(MAX(T15:T24),T15:T24,0))</f>
        <v>Laptop</v>
      </c>
      <c r="K3" s="4"/>
      <c r="L3" s="14" t="str">
        <f>INDEX(S15:S24,MATCH(MAX(U15:U24),U15:U24,0))</f>
        <v>Laptop</v>
      </c>
    </row>
    <row r="4" spans="1:22" ht="18.75">
      <c r="A4" s="11">
        <f>COUNTA('Sales Data'!A2:A101)</f>
        <v>100</v>
      </c>
      <c r="B4" s="11">
        <f>SUM('Sales Data'!I2:I101)</f>
        <v>4080360</v>
      </c>
      <c r="C4" s="11">
        <f>SUM('Sales Data'!K2:K101)</f>
        <v>713139.25</v>
      </c>
      <c r="D4" s="11">
        <f>SUM('Sales Data'!G2:G101)</f>
        <v>557</v>
      </c>
      <c r="E4" s="11">
        <f>B4/A4</f>
        <v>40803.599999999999</v>
      </c>
      <c r="G4" s="13"/>
      <c r="J4" s="15">
        <f>MAX(T15:T24)</f>
        <v>915200</v>
      </c>
      <c r="K4" s="4"/>
      <c r="L4" s="15">
        <f>MAX(U15:U24)</f>
        <v>137280</v>
      </c>
    </row>
    <row r="7" spans="1:22" ht="15.75">
      <c r="A7" s="5" t="s">
        <v>3</v>
      </c>
      <c r="B7" s="5" t="s">
        <v>8</v>
      </c>
      <c r="D7" s="5" t="s">
        <v>4</v>
      </c>
      <c r="E7" s="5" t="s">
        <v>8</v>
      </c>
      <c r="G7" s="5" t="s">
        <v>5</v>
      </c>
      <c r="H7" s="5" t="s">
        <v>8</v>
      </c>
      <c r="J7" s="5" t="s">
        <v>5</v>
      </c>
      <c r="K7" s="5" t="s">
        <v>140</v>
      </c>
    </row>
    <row r="8" spans="1:22">
      <c r="A8" s="6" t="s">
        <v>13</v>
      </c>
      <c r="B8" s="6">
        <f>SUMIF('Sales Data'!D2:D101,"Technology",'Sales Data'!I2:I101)</f>
        <v>2642335</v>
      </c>
      <c r="D8" s="7" t="s">
        <v>14</v>
      </c>
      <c r="E8" s="7">
        <f>SUMIF('Sales Data'!E2:E101,D8,'Sales Data'!I2:I101)</f>
        <v>1209995</v>
      </c>
      <c r="G8" s="6" t="s">
        <v>15</v>
      </c>
      <c r="H8" s="6">
        <f>SUMIF('Sales Data'!F2:F101,G8,'Sales Data'!I2:I101)</f>
        <v>1209995</v>
      </c>
      <c r="J8" s="6" t="s">
        <v>15</v>
      </c>
      <c r="K8" s="6">
        <f>COUNTIF('Sales Data'!F2:F101,J8)</f>
        <v>25</v>
      </c>
    </row>
    <row r="9" spans="1:22">
      <c r="A9" s="6" t="s">
        <v>18</v>
      </c>
      <c r="B9" s="6">
        <f>SUMIF('Sales Data'!D3:D102,"Furniture",'Sales Data'!I3:I102)</f>
        <v>854345</v>
      </c>
      <c r="D9" s="7" t="s">
        <v>19</v>
      </c>
      <c r="E9" s="7">
        <f>SUMIF('Sales Data'!E2:E101,D9,'Sales Data'!I2:I101)</f>
        <v>792980</v>
      </c>
      <c r="G9" s="6" t="s">
        <v>20</v>
      </c>
      <c r="H9" s="6">
        <f>SUMIF('Sales Data'!F3:F102,G9,'Sales Data'!I3:I102)</f>
        <v>792980</v>
      </c>
      <c r="J9" s="6" t="s">
        <v>20</v>
      </c>
      <c r="K9" s="6">
        <f>COUNTIF('Sales Data'!F3:F102,J9)</f>
        <v>25</v>
      </c>
    </row>
    <row r="10" spans="1:22">
      <c r="A10" s="6" t="s">
        <v>31</v>
      </c>
      <c r="B10" s="6">
        <f>SUMIF('Sales Data'!D4:D103,"Accessories",'Sales Data'!I4:I103)</f>
        <v>583680</v>
      </c>
      <c r="D10" s="7" t="s">
        <v>23</v>
      </c>
      <c r="E10" s="7">
        <f>SUMIF('Sales Data'!E4:E103,D10,'Sales Data'!I4:I103)</f>
        <v>1226170</v>
      </c>
      <c r="G10" s="6" t="s">
        <v>24</v>
      </c>
      <c r="H10" s="6">
        <f>SUMIF('Sales Data'!F4:F103,G10,'Sales Data'!I4:I103)</f>
        <v>1226170</v>
      </c>
      <c r="J10" s="6" t="s">
        <v>24</v>
      </c>
      <c r="K10" s="6">
        <f>COUNTIF('Sales Data'!F4:F103,J10)</f>
        <v>25</v>
      </c>
    </row>
    <row r="11" spans="1:22">
      <c r="D11" s="7" t="s">
        <v>27</v>
      </c>
      <c r="E11" s="7">
        <f>SUMIF('Sales Data'!E5:E104,D11,'Sales Data'!I5:I104)</f>
        <v>851215</v>
      </c>
      <c r="G11" s="6" t="s">
        <v>28</v>
      </c>
      <c r="H11" s="6">
        <f>SUMIF('Sales Data'!F5:F104,G11,'Sales Data'!I5:I104)</f>
        <v>851215</v>
      </c>
      <c r="J11" s="6" t="s">
        <v>28</v>
      </c>
      <c r="K11" s="6">
        <f>COUNTIF('Sales Data'!F5:F104,J11)</f>
        <v>25</v>
      </c>
    </row>
    <row r="12" spans="1:22">
      <c r="N12" s="8"/>
    </row>
    <row r="14" spans="1:22" ht="15.75">
      <c r="A14" s="5" t="s">
        <v>141</v>
      </c>
      <c r="B14" s="5" t="s">
        <v>8</v>
      </c>
      <c r="D14" s="5" t="s">
        <v>3</v>
      </c>
      <c r="E14" s="5" t="s">
        <v>10</v>
      </c>
      <c r="G14" s="5" t="s">
        <v>4</v>
      </c>
      <c r="H14" s="5" t="s">
        <v>10</v>
      </c>
      <c r="J14" s="5" t="s">
        <v>5</v>
      </c>
      <c r="K14" s="5" t="s">
        <v>8</v>
      </c>
      <c r="M14" s="5" t="s">
        <v>3</v>
      </c>
      <c r="N14" s="5" t="s">
        <v>8</v>
      </c>
      <c r="O14" s="5" t="s">
        <v>10</v>
      </c>
      <c r="P14" s="5" t="s">
        <v>142</v>
      </c>
      <c r="S14" s="5" t="s">
        <v>2</v>
      </c>
      <c r="T14" s="5" t="s">
        <v>8</v>
      </c>
      <c r="U14" s="5" t="s">
        <v>10</v>
      </c>
      <c r="V14" s="5" t="s">
        <v>6</v>
      </c>
    </row>
    <row r="15" spans="1:22" ht="15.75">
      <c r="A15" s="6" t="s">
        <v>143</v>
      </c>
      <c r="B15" s="6" cm="1">
        <f t="array" ref="B15">SUMPRODUCT((MONTH('Sales Data'!$B$2:$B$101)=ROW()-14)*'Sales Data'!$I$2:$I$101)</f>
        <v>593235</v>
      </c>
      <c r="D15" s="6" t="s">
        <v>13</v>
      </c>
      <c r="E15" s="6">
        <f>SUMIF('Sales Data'!D2:D101,D15,'Sales Data'!K2:K101)</f>
        <v>396350.25</v>
      </c>
      <c r="F15" s="3"/>
      <c r="G15" s="6" t="s">
        <v>14</v>
      </c>
      <c r="H15" s="6">
        <f>SUMIF('Sales Data'!$E:$E,G15,'Sales Data'!$K:$K)</f>
        <v>212094</v>
      </c>
      <c r="J15" s="7" t="s">
        <v>15</v>
      </c>
      <c r="K15" s="7">
        <v>1209995</v>
      </c>
      <c r="M15" s="7" t="s">
        <v>13</v>
      </c>
      <c r="N15" s="7">
        <v>2642335</v>
      </c>
      <c r="O15" s="7">
        <v>396350.25</v>
      </c>
      <c r="P15" s="9">
        <f>O15/N15</f>
        <v>0.15</v>
      </c>
      <c r="S15" s="6" t="s">
        <v>12</v>
      </c>
      <c r="T15" s="6">
        <f>SUMIF('Sales Data'!$C:$C,S15,'Sales Data'!$I:$I)</f>
        <v>915200</v>
      </c>
      <c r="U15" s="6">
        <f>SUMIF('Sales Data'!$C:$C,S15,'Sales Data'!$K:$K)</f>
        <v>137280</v>
      </c>
      <c r="V15" s="6">
        <f>SUMIF('Sales Data'!$C:$C,S15,'Sales Data'!$G:$G)</f>
        <v>18</v>
      </c>
    </row>
    <row r="16" spans="1:22">
      <c r="A16" s="6" t="s">
        <v>144</v>
      </c>
      <c r="B16" s="6" cm="1">
        <f t="array" ref="B16">SUMPRODUCT((MONTH('Sales Data'!$B$2:$B$101)=ROW()-14)*'Sales Data'!$I$2:$I$101)</f>
        <v>578885</v>
      </c>
      <c r="D16" s="6" t="s">
        <v>18</v>
      </c>
      <c r="E16" s="6">
        <f>SUMIF('Sales Data'!D3:D102,D16,'Sales Data'!K3:K102)</f>
        <v>170869</v>
      </c>
      <c r="G16" s="6" t="s">
        <v>19</v>
      </c>
      <c r="H16" s="6">
        <f>SUMIF('Sales Data'!$E:$E,G16,'Sales Data'!$K:$K)</f>
        <v>141877.75</v>
      </c>
      <c r="J16" s="7" t="s">
        <v>20</v>
      </c>
      <c r="K16" s="7">
        <v>792980</v>
      </c>
      <c r="M16" s="7" t="s">
        <v>18</v>
      </c>
      <c r="N16" s="7">
        <v>854345</v>
      </c>
      <c r="O16" s="7">
        <v>170869</v>
      </c>
      <c r="P16" s="9">
        <f t="shared" ref="P16:P17" si="0">O16/N16</f>
        <v>0.2</v>
      </c>
      <c r="S16" s="6" t="s">
        <v>17</v>
      </c>
      <c r="T16" s="6">
        <f>SUMIF('Sales Data'!$C:$C,S16,'Sales Data'!$I:$I)</f>
        <v>332180</v>
      </c>
      <c r="U16" s="6">
        <f>SUMIF('Sales Data'!$C:$C,S16,'Sales Data'!$K:$K)</f>
        <v>66436</v>
      </c>
      <c r="V16" s="6">
        <f>SUMIF('Sales Data'!$C:$C,S16,'Sales Data'!$G:$G)</f>
        <v>43</v>
      </c>
    </row>
    <row r="17" spans="1:24">
      <c r="A17" s="6" t="s">
        <v>145</v>
      </c>
      <c r="B17" s="6" cm="1">
        <f t="array" ref="B17">SUMPRODUCT((MONTH('Sales Data'!$B$2:$B$101)=ROW()-14)*'Sales Data'!$I$2:$I$101)</f>
        <v>656700</v>
      </c>
      <c r="D17" s="6" t="s">
        <v>31</v>
      </c>
      <c r="E17" s="6">
        <f>SUMIF('Sales Data'!D4:D103,D17,'Sales Data'!K4:K103)</f>
        <v>145920</v>
      </c>
      <c r="G17" s="6" t="s">
        <v>23</v>
      </c>
      <c r="H17" s="6">
        <f>SUMIF('Sales Data'!$E:$E,G17,'Sales Data'!$K:$K)</f>
        <v>209319</v>
      </c>
      <c r="J17" s="7" t="s">
        <v>24</v>
      </c>
      <c r="K17" s="7">
        <v>1226170</v>
      </c>
      <c r="M17" s="7" t="s">
        <v>31</v>
      </c>
      <c r="N17" s="7">
        <v>583680</v>
      </c>
      <c r="O17" s="7">
        <v>145920</v>
      </c>
      <c r="P17" s="9">
        <f t="shared" si="0"/>
        <v>0.25</v>
      </c>
      <c r="S17" s="6" t="s">
        <v>22</v>
      </c>
      <c r="T17" s="6">
        <f>SUMIF('Sales Data'!$C:$C,S17,'Sales Data'!$I:$I)</f>
        <v>843520</v>
      </c>
      <c r="U17" s="6">
        <f>SUMIF('Sales Data'!$C:$C,S17,'Sales Data'!$K:$K)</f>
        <v>126528</v>
      </c>
      <c r="V17" s="6">
        <f>SUMIF('Sales Data'!$C:$C,S17,'Sales Data'!$G:$G)</f>
        <v>28</v>
      </c>
    </row>
    <row r="18" spans="1:24">
      <c r="A18" s="6" t="s">
        <v>146</v>
      </c>
      <c r="B18" s="6" cm="1">
        <f t="array" ref="B18">SUMPRODUCT((MONTH('Sales Data'!$B$2:$B$101)=ROW()-14)*'Sales Data'!$I$2:$I$101)</f>
        <v>578330</v>
      </c>
      <c r="G18" s="6" t="s">
        <v>27</v>
      </c>
      <c r="H18" s="6">
        <f>SUMIF('Sales Data'!$E:$E,G18,'Sales Data'!$K:$K)</f>
        <v>149848.5</v>
      </c>
      <c r="J18" s="7" t="s">
        <v>28</v>
      </c>
      <c r="K18" s="7">
        <v>851215</v>
      </c>
      <c r="S18" s="6" t="s">
        <v>26</v>
      </c>
      <c r="T18" s="6">
        <f>SUMIF('Sales Data'!$C:$C,S18,'Sales Data'!$I:$I)</f>
        <v>287040</v>
      </c>
      <c r="U18" s="6">
        <f>SUMIF('Sales Data'!$C:$C,S18,'Sales Data'!$K:$K)</f>
        <v>57408</v>
      </c>
      <c r="V18" s="6">
        <f>SUMIF('Sales Data'!$C:$C,S18,'Sales Data'!$G:$G)</f>
        <v>26</v>
      </c>
    </row>
    <row r="19" spans="1:24">
      <c r="A19" s="6" t="s">
        <v>147</v>
      </c>
      <c r="B19" s="6" cm="1">
        <f t="array" ref="B19">SUMPRODUCT((MONTH('Sales Data'!$B$2:$B$101)=ROW()-14)*'Sales Data'!$I$2:$I$101)</f>
        <v>514810</v>
      </c>
      <c r="S19" s="6" t="s">
        <v>30</v>
      </c>
      <c r="T19" s="6">
        <f>SUMIF('Sales Data'!$C:$C,S19,'Sales Data'!$I:$I)</f>
        <v>199500</v>
      </c>
      <c r="U19" s="6">
        <f>SUMIF('Sales Data'!$C:$C,S19,'Sales Data'!$K:$K)</f>
        <v>49875</v>
      </c>
      <c r="V19" s="6">
        <f>SUMIF('Sales Data'!$C:$C,S19,'Sales Data'!$G:$G)</f>
        <v>84</v>
      </c>
    </row>
    <row r="20" spans="1:24">
      <c r="A20" s="6" t="s">
        <v>148</v>
      </c>
      <c r="B20" s="6" cm="1">
        <f t="array" ref="B20">SUMPRODUCT((MONTH('Sales Data'!$B$2:$B$101)=ROW()-14)*'Sales Data'!$I$2:$I$101)</f>
        <v>598810</v>
      </c>
      <c r="S20" s="6" t="s">
        <v>33</v>
      </c>
      <c r="T20" s="6">
        <f>SUMIF('Sales Data'!$C:$C,S20,'Sales Data'!$I:$I)</f>
        <v>513720</v>
      </c>
      <c r="U20" s="6">
        <f>SUMIF('Sales Data'!$C:$C,S20,'Sales Data'!$K:$K)</f>
        <v>77058</v>
      </c>
      <c r="V20" s="6">
        <f>SUMIF('Sales Data'!$C:$C,S20,'Sales Data'!$G:$G)</f>
        <v>31</v>
      </c>
    </row>
    <row r="21" spans="1:24">
      <c r="A21" s="6" t="s">
        <v>149</v>
      </c>
      <c r="B21" s="6" cm="1">
        <f t="array" ref="B21">SUMPRODUCT((MONTH('Sales Data'!$B$2:$B$101)=ROW()-14)*'Sales Data'!$I$2:$I$101)</f>
        <v>559590</v>
      </c>
      <c r="S21" s="6" t="s">
        <v>35</v>
      </c>
      <c r="T21" s="6">
        <f>SUMIF('Sales Data'!$C:$C,S21,'Sales Data'!$I:$I)</f>
        <v>242820</v>
      </c>
      <c r="U21" s="6">
        <f>SUMIF('Sales Data'!$C:$C,S21,'Sales Data'!$K:$K)</f>
        <v>60705</v>
      </c>
      <c r="V21" s="6">
        <f>SUMIF('Sales Data'!$C:$C,S21,'Sales Data'!$G:$G)</f>
        <v>142</v>
      </c>
    </row>
    <row r="22" spans="1:24">
      <c r="S22" s="6" t="s">
        <v>37</v>
      </c>
      <c r="T22" s="6">
        <f>SUMIF('Sales Data'!$C:$C,S22,'Sales Data'!$I:$I)</f>
        <v>369895</v>
      </c>
      <c r="U22" s="6">
        <f>SUMIF('Sales Data'!$C:$C,S22,'Sales Data'!$K:$K)</f>
        <v>55484.25</v>
      </c>
      <c r="V22" s="6">
        <f>SUMIF('Sales Data'!$C:$C,S22,'Sales Data'!$G:$G)</f>
        <v>28</v>
      </c>
    </row>
    <row r="23" spans="1:24">
      <c r="S23" s="6" t="s">
        <v>39</v>
      </c>
      <c r="T23" s="6">
        <f>SUMIF('Sales Data'!$C:$C,S23,'Sales Data'!$I:$I)</f>
        <v>235125</v>
      </c>
      <c r="U23" s="6">
        <f>SUMIF('Sales Data'!$C:$C,S23,'Sales Data'!$K:$K)</f>
        <v>47025</v>
      </c>
      <c r="V23" s="6">
        <f>SUMIF('Sales Data'!$C:$C,S23,'Sales Data'!$G:$G)</f>
        <v>33</v>
      </c>
    </row>
    <row r="24" spans="1:24">
      <c r="S24" s="6" t="s">
        <v>41</v>
      </c>
      <c r="T24" s="6">
        <f>SUMIF('Sales Data'!$C:$C,S24,'Sales Data'!$I:$I)</f>
        <v>141360</v>
      </c>
      <c r="U24" s="6">
        <f>SUMIF('Sales Data'!$C:$C,S24,'Sales Data'!$K:$K)</f>
        <v>35340</v>
      </c>
      <c r="V24" s="6">
        <f>SUMIF('Sales Data'!$C:$C,S24,'Sales Data'!$G:$G)</f>
        <v>124</v>
      </c>
    </row>
    <row r="28" spans="1:24">
      <c r="X28" s="8"/>
    </row>
    <row r="92" spans="1:4" ht="21">
      <c r="A92" s="22" t="s">
        <v>150</v>
      </c>
      <c r="B92" s="23"/>
      <c r="C92" s="23"/>
      <c r="D92" s="24"/>
    </row>
    <row r="93" spans="1:4" ht="35.25" customHeight="1">
      <c r="A93" s="16" t="s">
        <v>151</v>
      </c>
      <c r="B93" s="17"/>
      <c r="C93" s="17"/>
      <c r="D93" s="18"/>
    </row>
    <row r="94" spans="1:4" ht="35.25" customHeight="1">
      <c r="A94" s="16" t="s">
        <v>152</v>
      </c>
      <c r="B94" s="17"/>
      <c r="C94" s="17"/>
      <c r="D94" s="18"/>
    </row>
    <row r="95" spans="1:4" ht="35.25" customHeight="1">
      <c r="A95" s="16" t="s">
        <v>153</v>
      </c>
      <c r="B95" s="17"/>
      <c r="C95" s="17"/>
      <c r="D95" s="18"/>
    </row>
    <row r="96" spans="1:4" ht="35.25" customHeight="1">
      <c r="A96" s="16" t="s">
        <v>154</v>
      </c>
      <c r="B96" s="17"/>
      <c r="C96" s="17"/>
      <c r="D96" s="18"/>
    </row>
    <row r="97" spans="1:4" ht="35.25" customHeight="1">
      <c r="A97" s="19" t="s">
        <v>155</v>
      </c>
      <c r="B97" s="20"/>
      <c r="C97" s="20"/>
      <c r="D97" s="21"/>
    </row>
  </sheetData>
  <mergeCells count="7">
    <mergeCell ref="A92:D92"/>
    <mergeCell ref="A1:H1"/>
    <mergeCell ref="A93:D93"/>
    <mergeCell ref="A94:D94"/>
    <mergeCell ref="A95:D95"/>
    <mergeCell ref="A96:D96"/>
    <mergeCell ref="A97:D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2026-09-25T15:37:45Z</dcterms:created>
  <dcterms:modified xsi:type="dcterms:W3CDTF">2026-10-03T21:48:40Z</dcterms:modified>
  <cp:category/>
  <cp:contentStatus/>
</cp:coreProperties>
</file>